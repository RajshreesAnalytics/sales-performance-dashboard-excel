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393e1d58368d1ed6/Desktop/Excel Projects/"/>
    </mc:Choice>
  </mc:AlternateContent>
  <xr:revisionPtr revIDLastSave="2716" documentId="8_{6653A98F-585A-4D54-A6AE-B09B1BA5B1C1}" xr6:coauthVersionLast="47" xr6:coauthVersionMax="47" xr10:uidLastSave="{52EF8C6E-CD5C-428E-84F3-776E102F10C2}"/>
  <bookViews>
    <workbookView xWindow="-110" yWindow="-110" windowWidth="19420" windowHeight="10300" tabRatio="765" firstSheet="2" activeTab="5" xr2:uid="{2267A4F6-9341-488F-81D8-D7E25CB8D76F}"/>
  </bookViews>
  <sheets>
    <sheet name="Sales_Transaction" sheetId="1" r:id="rId1"/>
    <sheet name="Product_Master " sheetId="3" r:id="rId2"/>
    <sheet name="Customer_Master" sheetId="2" r:id="rId3"/>
    <sheet name="Pivot_Product" sheetId="4" r:id="rId4"/>
    <sheet name="Dashboard" sheetId="5" r:id="rId5"/>
    <sheet name="Project_Overview" sheetId="6" r:id="rId6"/>
  </sheets>
  <definedNames>
    <definedName name="Slicer_Months__Order_Date">#N/A</definedName>
    <definedName name="Slicer_Product_ID">#N/A</definedName>
    <definedName name="Slicer_Sales_Re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5" l="1"/>
  <c r="B11" i="5" a="1"/>
  <c r="B11" i="5" s="1"/>
  <c r="B23" i="5" a="1"/>
  <c r="B23" i="5" s="1"/>
  <c r="B26" i="5"/>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B14" i="5"/>
  <c r="H2" i="1"/>
  <c r="I2" i="1" s="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F3" i="3"/>
  <c r="G6" i="2"/>
  <c r="M3" i="4"/>
  <c r="B30" i="5" l="1"/>
  <c r="B17" i="5"/>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<sst xmlns="http://schemas.openxmlformats.org/spreadsheetml/2006/main" count="249" uniqueCount="102">
  <si>
    <t>Order_Date</t>
  </si>
  <si>
    <t>Order_ID</t>
  </si>
  <si>
    <t>Customer_ID</t>
  </si>
  <si>
    <t>Category</t>
  </si>
  <si>
    <t>Units_sold</t>
  </si>
  <si>
    <t>Region</t>
  </si>
  <si>
    <t>Sales_Rep</t>
  </si>
  <si>
    <t>Customer_Name</t>
  </si>
  <si>
    <t>Customer_Type</t>
  </si>
  <si>
    <t>C001</t>
  </si>
  <si>
    <t>C002</t>
  </si>
  <si>
    <t>C003</t>
  </si>
  <si>
    <t>C004</t>
  </si>
  <si>
    <t>C005</t>
  </si>
  <si>
    <t>C006</t>
  </si>
  <si>
    <t>C007</t>
  </si>
  <si>
    <t>C008</t>
  </si>
  <si>
    <t>C009</t>
  </si>
  <si>
    <t>C010</t>
  </si>
  <si>
    <t>C011</t>
  </si>
  <si>
    <t>C012</t>
  </si>
  <si>
    <t>Rahul Sharma</t>
  </si>
  <si>
    <t>Anita Mehta</t>
  </si>
  <si>
    <t>Suresh Iyer</t>
  </si>
  <si>
    <t>Priya Nair</t>
  </si>
  <si>
    <t>Arjun Rao</t>
  </si>
  <si>
    <t>Meena Kapoor</t>
  </si>
  <si>
    <t>Vikram Singh</t>
  </si>
  <si>
    <t>Kavita Das</t>
  </si>
  <si>
    <t>Rohit Verma</t>
  </si>
  <si>
    <t>Neha Gupta</t>
  </si>
  <si>
    <t>Aditya Jain</t>
  </si>
  <si>
    <t>Pooja Malhotra</t>
  </si>
  <si>
    <t>Retail</t>
  </si>
  <si>
    <t>Corporate</t>
  </si>
  <si>
    <t>North</t>
  </si>
  <si>
    <t>South</t>
  </si>
  <si>
    <t>East</t>
  </si>
  <si>
    <t>West</t>
  </si>
  <si>
    <t>Product_ID</t>
  </si>
  <si>
    <t>Product _Name</t>
  </si>
  <si>
    <t>Base_Price</t>
  </si>
  <si>
    <t>P001</t>
  </si>
  <si>
    <t>P002</t>
  </si>
  <si>
    <t>P003</t>
  </si>
  <si>
    <t>P004</t>
  </si>
  <si>
    <t>P005</t>
  </si>
  <si>
    <t>P006</t>
  </si>
  <si>
    <t>Laptop</t>
  </si>
  <si>
    <t>Phone</t>
  </si>
  <si>
    <t>Tablet</t>
  </si>
  <si>
    <t>Chair</t>
  </si>
  <si>
    <t>Table</t>
  </si>
  <si>
    <t>Desk</t>
  </si>
  <si>
    <t>Electronics</t>
  </si>
  <si>
    <t>Furniture</t>
  </si>
  <si>
    <t xml:space="preserve">Unit_Price </t>
  </si>
  <si>
    <t>Revenue</t>
  </si>
  <si>
    <t>Total_Revenue</t>
  </si>
  <si>
    <t>R001</t>
  </si>
  <si>
    <t>R002</t>
  </si>
  <si>
    <t>R003</t>
  </si>
  <si>
    <t>Grand Total</t>
  </si>
  <si>
    <t>Sum of Revenue</t>
  </si>
  <si>
    <t>Jan</t>
  </si>
  <si>
    <t>Feb</t>
  </si>
  <si>
    <t>Mar</t>
  </si>
  <si>
    <t>Column Labels</t>
  </si>
  <si>
    <t>Sum of Units_sold</t>
  </si>
  <si>
    <t>Total Revenue</t>
  </si>
  <si>
    <t>Total Units Sold</t>
  </si>
  <si>
    <t>Average Revenue Per Unit</t>
  </si>
  <si>
    <t>Top Product By Revenue</t>
  </si>
  <si>
    <t>Top Product Revenue</t>
  </si>
  <si>
    <t>REVENUE BY PRODUCT</t>
  </si>
  <si>
    <t>REVENUE BY MONTHS</t>
  </si>
  <si>
    <t>MONTHLY UNITS SOLD BY PRODUCTS</t>
  </si>
  <si>
    <t>Revenue Concentration Ratio</t>
  </si>
  <si>
    <t>Customer Type Contribution%</t>
  </si>
  <si>
    <t>Revenue%</t>
  </si>
  <si>
    <t xml:space="preserve"> Revenue%</t>
  </si>
  <si>
    <t xml:space="preserve">        REVENUE BY SALES REPRESENTATIVE</t>
  </si>
  <si>
    <t xml:space="preserve">       MONTHLY UNITS SOLD</t>
  </si>
  <si>
    <t>Sales Rep ID</t>
  </si>
  <si>
    <t>Product ID</t>
  </si>
  <si>
    <t>Months</t>
  </si>
  <si>
    <t>Sector</t>
  </si>
  <si>
    <t>Revenue Growth % from Jan to Mar</t>
  </si>
  <si>
    <t>Revenue Growth %( Jan - Mar ) 2024</t>
  </si>
  <si>
    <t>Microsoft Excel</t>
  </si>
  <si>
    <t>Pivot Tables</t>
  </si>
  <si>
    <t>Pivot Charts</t>
  </si>
  <si>
    <t xml:space="preserve">Slicers </t>
  </si>
  <si>
    <t>KPI Metrices</t>
  </si>
  <si>
    <t xml:space="preserve">Total Revenue </t>
  </si>
  <si>
    <t>Units Sold</t>
  </si>
  <si>
    <t>Average Per Unit</t>
  </si>
  <si>
    <t>Revenue Growth %</t>
  </si>
  <si>
    <t>Product Contribution</t>
  </si>
  <si>
    <t>Sales Rep Contribution</t>
  </si>
  <si>
    <t>Customer Segmentation Contribution</t>
  </si>
  <si>
    <t>Sales Performance Dashboard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</si>
</sst>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quot;₹&quot;0.00&quot;L&quot;"/>
  </numFmts>
  <fonts count="8" x14ac:knownFonts="1">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4" fillId="0" borderId="0" xfId="0" applyFont="1" applyAlignment="1">
      <alignment horizontal="left"/>
    </xf>
    <xf numFmtId="0" fontId="5" fillId="0" borderId="0" xfId="0" applyFont="1" applyAlignment="1">
      <alignment horizontal="left"/>
    </xf>
    <xf numFmtId="164" fontId="0" fillId="0" borderId="0" xfId="0" applyNumberFormat="1" applyAlignment="1">
      <alignment horizontal="left"/>
    </xf>
    <xf numFmtId="10" fontId="0" fillId="0" borderId="0" xfId="0" applyNumberFormat="1" applyAlignment="1">
      <alignment horizontal="left"/>
    </xf>
    <xf numFmtId="0" fontId="1" fillId="0" borderId="0" xfId="0" applyFont="1" applyAlignment="1">
      <alignment horizontal="center"/>
    </xf>
    <xf numFmtId="0" fontId="0" fillId="0" borderId="0" xfId="0" applyAlignment="1">
      <alignment horizontal="center"/>
    </xf>
    <xf numFmtId="166" fontId="6" fillId="0" borderId="0" xfId="0" applyNumberFormat="1" applyFont="1" applyAlignment="1">
      <alignment horizontal="right"/>
    </xf>
    <xf numFmtId="0" fontId="6" fillId="0" borderId="0" xfId="0" applyFont="1" applyAlignment="1">
      <alignment horizontal="right"/>
    </xf>
    <xf numFmtId="165" fontId="6" fillId="0" borderId="0" xfId="0" applyNumberFormat="1" applyFont="1" applyAlignment="1">
      <alignment horizontal="right"/>
    </xf>
    <xf numFmtId="10" fontId="6" fillId="0" borderId="0" xfId="0" applyNumberFormat="1" applyFont="1" applyAlignment="1">
      <alignment horizontal="right"/>
    </xf>
    <xf numFmtId="10" fontId="0" fillId="0" borderId="0" xfId="0" applyNumberFormat="1" applyAlignment="1">
      <alignment horizontal="center"/>
    </xf>
    <xf numFmtId="0" fontId="1" fillId="0" borderId="0" xfId="0" applyFont="1" applyAlignment="1">
      <alignment horizontal="left" vertical="center"/>
    </xf>
    <xf numFmtId="0" fontId="1" fillId="0" borderId="0" xfId="0" applyFont="1" applyAlignment="1">
      <alignment horizontal="left"/>
    </xf>
    <xf numFmtId="0" fontId="5" fillId="0" borderId="0" xfId="0" applyFont="1" applyAlignment="1">
      <alignment horizontal="left"/>
    </xf>
    <xf numFmtId="0" fontId="0" fillId="0" borderId="0" xfId="0" applyAlignme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7" fillId="0" borderId="0" xfId="0" applyFont="1" applyAlignment="1">
      <alignment horizont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[sales-performance-dashboard-excel.xlsx]Pivot_Product!PivotTable2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Revenue Contribution By Sales Representative</a:t>
            </a:r>
          </a:p>
        </c:rich>
      </c:tx>
      <c:layout>
        <c:manualLayout>
          <c:xMode val="edge"/>
          <c:yMode val="edge"/>
          <c:x val="0.16084803574400794"/>
          <c:y val="2.63735886244039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9904592217944"/>
          <c:y val="0.14085476131889763"/>
          <c:w val="0.78857175699752868"/>
          <c:h val="0.65435869832677152"/>
        </c:manualLayout>
      </c:layout>
      <c:barChart>
        <c:barDir val="bar"/>
        <c:grouping val="clustered"/>
        <c:varyColors val="0"/>
        <c:ser>
          <c:idx val="0"/>
          <c:order val="0"/>
          <c:tx>
            <c:strRef>
              <c:f>Pivot_Product!$F$3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Pivot_Product!$E$4:$E$7</c:f>
              <c:strCache>
                <c:ptCount val="3"/>
                <c:pt idx="0">
                  <c:v>R001</c:v>
                </c:pt>
                <c:pt idx="1">
                  <c:v>R002</c:v>
                </c:pt>
                <c:pt idx="2">
                  <c:v>R003</c:v>
                </c:pt>
              </c:strCache>
            </c:strRef>
          </c:cat>
          <c:val>
            <c:numRef>
              <c:f>Pivot_Product!$F$4:$F$7</c:f>
              <c:numCache>
                <c:formatCode>General</c:formatCode>
                <c:ptCount val="3"/>
                <c:pt idx="0">
                  <c:v>1109000</c:v>
                </c:pt>
                <c:pt idx="1">
                  <c:v>917000</c:v>
                </c:pt>
                <c:pt idx="2">
                  <c:v>567000</c:v>
                </c:pt>
              </c:numCache>
            </c:numRef>
          </c:val>
          <c:extLst>
            <c:ext xmlns:c16="http://schemas.microsoft.com/office/drawing/2014/chart" uri="{C3380CC4-5D6E-409C-BE32-E72D297353CC}">
              <c16:uniqueId val="{00000000-4E9E-48E8-ACDD-EE2552E7770A}"/>
            </c:ext>
          </c:extLst>
        </c:ser>
        <c:ser>
          <c:idx val="1"/>
          <c:order val="1"/>
          <c:tx>
            <c:strRef>
              <c:f>Pivot_Product!$G$3</c:f>
              <c:strCache>
                <c:ptCount val="1"/>
                <c:pt idx="0">
                  <c:v>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Pivot_Product!$E$4:$E$7</c:f>
              <c:strCache>
                <c:ptCount val="3"/>
                <c:pt idx="0">
                  <c:v>R001</c:v>
                </c:pt>
                <c:pt idx="1">
                  <c:v>R002</c:v>
                </c:pt>
                <c:pt idx="2">
                  <c:v>R003</c:v>
                </c:pt>
              </c:strCache>
            </c:strRef>
          </c:cat>
          <c:val>
            <c:numRef>
              <c:f>Pivot_Product!$G$4:$G$7</c:f>
              <c:numCache>
                <c:formatCode>0.00%</c:formatCode>
                <c:ptCount val="3"/>
                <c:pt idx="0">
                  <c:v>0.42768993443887388</c:v>
                </c:pt>
                <c:pt idx="1">
                  <c:v>0.35364442730428075</c:v>
                </c:pt>
                <c:pt idx="2">
                  <c:v>0.21866563825684535</c:v>
                </c:pt>
              </c:numCache>
            </c:numRef>
          </c:val>
          <c:extLst>
            <c:ext xmlns:c16="http://schemas.microsoft.com/office/drawing/2014/chart" uri="{C3380CC4-5D6E-409C-BE32-E72D297353CC}">
              <c16:uniqueId val="{00000001-4E9E-48E8-ACDD-EE2552E7770A}"/>
            </c:ext>
          </c:extLst>
        </c:ser>
        <c:dLbls>
          <c:dLblPos val="outEnd"/>
          <c:showLegendKey val="0"/>
          <c:showVal val="1"/>
          <c:showCatName val="0"/>
          <c:showSerName val="0"/>
          <c:showPercent val="0"/>
          <c:showBubbleSize val="0"/>
        </c:dLbls>
        <c:gapWidth val="182"/>
        <c:axId val="1615564992"/>
        <c:axId val="1615551552"/>
      </c:barChart>
      <c:catAx>
        <c:axId val="1615564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5551552"/>
        <c:crosses val="autoZero"/>
        <c:auto val="1"/>
        <c:lblAlgn val="ctr"/>
        <c:lblOffset val="100"/>
        <c:noMultiLvlLbl val="0"/>
      </c:catAx>
      <c:valAx>
        <c:axId val="1615551552"/>
        <c:scaling>
          <c:orientation val="minMax"/>
        </c:scaling>
        <c:delete val="1"/>
        <c:axPos val="t"/>
        <c:numFmt formatCode="General" sourceLinked="1"/>
        <c:majorTickMark val="none"/>
        <c:minorTickMark val="none"/>
        <c:tickLblPos val="nextTo"/>
        <c:crossAx val="16155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[sales-performance-dashboard-excel.xlsx]Pivot_Product!PivotTable3</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Revenue</a:t>
            </a:r>
            <a:r>
              <a:rPr lang="en-US" sz="1600" b="1" baseline="0">
                <a:solidFill>
                  <a:schemeClr val="tx1"/>
                </a:solidFill>
              </a:rPr>
              <a:t> Trend (JAN-MAR 2024)</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1"/>
            </a:solidFill>
            <a:round/>
          </a:ln>
          <a:effectLst/>
        </c:spPr>
        <c:marker>
          <c:symbol val="none"/>
        </c:marker>
        <c:dLbl>
          <c:idx val="0"/>
          <c:numFmt formatCode="&quot;₹&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0305328121327"/>
          <c:y val="0.15317422434367545"/>
          <c:w val="0.83907774330484652"/>
          <c:h val="0.61826806884038821"/>
        </c:manualLayout>
      </c:layout>
      <c:lineChart>
        <c:grouping val="standard"/>
        <c:varyColors val="0"/>
        <c:ser>
          <c:idx val="0"/>
          <c:order val="0"/>
          <c:tx>
            <c:strRef>
              <c:f>Pivot_Product!$K$3</c:f>
              <c:strCache>
                <c:ptCount val="1"/>
                <c:pt idx="0">
                  <c:v>Total</c:v>
                </c:pt>
              </c:strCache>
            </c:strRef>
          </c:tx>
          <c:spPr>
            <a:ln w="41275" cap="rnd">
              <a:solidFill>
                <a:schemeClr val="accent1"/>
              </a:solidFill>
              <a:round/>
            </a:ln>
            <a:effectLst/>
          </c:spPr>
          <c:marker>
            <c:symbol val="none"/>
          </c:marker>
          <c:dLbls>
            <c:numFmt formatCode="&quot;₹&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Pivot_Product!$J$4:$J$7</c:f>
              <c:strCache>
                <c:ptCount val="3"/>
                <c:pt idx="0">
                  <c:v>Jan</c:v>
                </c:pt>
                <c:pt idx="1">
                  <c:v>Feb</c:v>
                </c:pt>
                <c:pt idx="2">
                  <c:v>Mar</c:v>
                </c:pt>
              </c:strCache>
            </c:strRef>
          </c:cat>
          <c:val>
            <c:numRef>
              <c:f>Pivot_Product!$K$4:$K$7</c:f>
              <c:numCache>
                <c:formatCode>General</c:formatCode>
                <c:ptCount val="3"/>
                <c:pt idx="0">
                  <c:v>648000</c:v>
                </c:pt>
                <c:pt idx="1">
                  <c:v>767000</c:v>
                </c:pt>
                <c:pt idx="2">
                  <c:v>1178000</c:v>
                </c:pt>
              </c:numCache>
            </c:numRef>
          </c:val>
          <c:smooth val="0"/>
          <c:extLst>
            <c:ext xmlns:c16="http://schemas.microsoft.com/office/drawing/2014/chart" uri="{C3380CC4-5D6E-409C-BE32-E72D297353CC}">
              <c16:uniqueId val="{00000001-26CB-49A5-B03C-669BE40425B5}"/>
            </c:ext>
          </c:extLst>
        </c:ser>
        <c:dLbls>
          <c:dLblPos val="t"/>
          <c:showLegendKey val="0"/>
          <c:showVal val="1"/>
          <c:showCatName val="0"/>
          <c:showSerName val="0"/>
          <c:showPercent val="0"/>
          <c:showBubbleSize val="0"/>
        </c:dLbls>
        <c:smooth val="0"/>
        <c:axId val="929813823"/>
        <c:axId val="929814783"/>
      </c:lineChart>
      <c:catAx>
        <c:axId val="92981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814783"/>
        <c:crosses val="autoZero"/>
        <c:auto val="1"/>
        <c:lblAlgn val="ctr"/>
        <c:lblOffset val="100"/>
        <c:noMultiLvlLbl val="0"/>
      </c:catAx>
      <c:valAx>
        <c:axId val="929814783"/>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9813823"/>
        <c:crosses val="autoZero"/>
        <c:crossBetween val="between"/>
        <c:dispUnits>
          <c:builtInUnit val="hundred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[sales-performance-dashboard-excel.xlsx]Pivot_Product!PivotTable1</c:name>
    <c:fmtId val="1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Revenue</a:t>
            </a:r>
            <a:r>
              <a:rPr lang="en-IN" sz="1600" b="1" baseline="0">
                <a:solidFill>
                  <a:schemeClr val="tx1"/>
                </a:solidFill>
              </a:rPr>
              <a:t> Contribution by Product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solidFill>
              <a:schemeClr val="accent1">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CCD6B8-163C-4F3C-AE3B-CFD8050ACC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809287-967C-4474-9F9A-391849B1E3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8905FD-7853-48AC-82BC-EEB75BEB955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A27ECE-49F1-4D34-B3E1-1EEF323085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395387-4AA2-41F1-9E9A-6B4847A946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96A3A4-C51E-41CC-A1A6-E29A99FCEB4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solidFill>
              <a:schemeClr val="accent1">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CCD6B8-163C-4F3C-AE3B-CFD8050ACC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809287-967C-4474-9F9A-391849B1E3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8905FD-7853-48AC-82BC-EEB75BEB955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A27ECE-49F1-4D34-B3E1-1EEF323085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395387-4AA2-41F1-9E9A-6B4847A946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96A3A4-C51E-41CC-A1A6-E29A99FCEB4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EEA858F-B067-4648-90A4-DBC2D05474D6}" type="CELLRANGE">
                  <a:rPr lang="en-US" b="1"/>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F72172B-FDBC-47E4-945B-521A89AAF13D}"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8E512C5-87A4-4E11-8E58-9CC8514A4DEF}"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124C83A-8DAD-42F7-AD37-0D71A59F408B}"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2BEFF14-8601-4DDD-8A71-41CDD750D87D}"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solidFill>
              <a:schemeClr val="accent1">
                <a:alpha val="96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33DA308-A735-4006-BE29-40DB56AAD430}"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7526704510773"/>
          <c:y val="0.17787688570175994"/>
          <c:w val="0.79046710624586569"/>
          <c:h val="0.60722984810272795"/>
        </c:manualLayout>
      </c:layout>
      <c:barChart>
        <c:barDir val="bar"/>
        <c:grouping val="clustered"/>
        <c:varyColors val="0"/>
        <c:ser>
          <c:idx val="0"/>
          <c:order val="0"/>
          <c:tx>
            <c:strRef>
              <c:f>Pivot_Product!$C$4:$C$9</c:f>
              <c:strCache>
                <c:ptCount val="1"/>
                <c:pt idx="0">
                  <c:v>Total Revenue</c:v>
                </c:pt>
              </c:strCache>
            </c:strRef>
          </c:tx>
          <c:spPr>
            <a:solidFill>
              <a:schemeClr val="accent1"/>
            </a:solidFill>
            <a:ln>
              <a:solidFill>
                <a:schemeClr val="accent1">
                  <a:alpha val="96000"/>
                </a:schemeClr>
              </a:solidFill>
            </a:ln>
            <a:effectLst/>
          </c:spPr>
          <c:invertIfNegative val="0"/>
          <c:dPt>
            <c:idx val="0"/>
            <c:invertIfNegative val="0"/>
            <c:bubble3D val="0"/>
            <c:spPr>
              <a:solidFill>
                <a:schemeClr val="accent1"/>
              </a:solidFill>
              <a:ln>
                <a:solidFill>
                  <a:schemeClr val="accent1">
                    <a:alpha val="96000"/>
                  </a:schemeClr>
                </a:solidFill>
              </a:ln>
              <a:effectLst/>
            </c:spPr>
            <c:extLst>
              <c:ext xmlns:c16="http://schemas.microsoft.com/office/drawing/2014/chart" uri="{C3380CC4-5D6E-409C-BE32-E72D297353CC}">
                <c16:uniqueId val="{00000000-95E1-40E8-B4EB-9A87DB65320D}"/>
              </c:ext>
            </c:extLst>
          </c:dPt>
          <c:dLbls>
            <c:dLbl>
              <c:idx val="0"/>
              <c:tx>
                <c:rich>
                  <a:bodyPr/>
                  <a:lstStyle/>
                  <a:p>
                    <a:fld id="{7EEA858F-B067-4648-90A4-DBC2D05474D6}" type="CELLRANGE">
                      <a:rPr lang="en-US" b="1"/>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5E1-40E8-B4EB-9A87DB65320D}"/>
                </c:ext>
              </c:extLst>
            </c:dLbl>
            <c:dLbl>
              <c:idx val="1"/>
              <c:tx>
                <c:rich>
                  <a:bodyPr/>
                  <a:lstStyle/>
                  <a:p>
                    <a:fld id="{CF72172B-FDBC-47E4-945B-521A89AAF13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5E1-40E8-B4EB-9A87DB65320D}"/>
                </c:ext>
              </c:extLst>
            </c:dLbl>
            <c:dLbl>
              <c:idx val="2"/>
              <c:tx>
                <c:rich>
                  <a:bodyPr/>
                  <a:lstStyle/>
                  <a:p>
                    <a:fld id="{F8E512C5-87A4-4E11-8E58-9CC8514A4DE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5E1-40E8-B4EB-9A87DB65320D}"/>
                </c:ext>
              </c:extLst>
            </c:dLbl>
            <c:dLbl>
              <c:idx val="3"/>
              <c:tx>
                <c:rich>
                  <a:bodyPr/>
                  <a:lstStyle/>
                  <a:p>
                    <a:fld id="{C124C83A-8DAD-42F7-AD37-0D71A59F408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E1-40E8-B4EB-9A87DB65320D}"/>
                </c:ext>
              </c:extLst>
            </c:dLbl>
            <c:dLbl>
              <c:idx val="4"/>
              <c:tx>
                <c:rich>
                  <a:bodyPr/>
                  <a:lstStyle/>
                  <a:p>
                    <a:fld id="{92BEFF14-8601-4DDD-8A71-41CDD750D87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5E1-40E8-B4EB-9A87DB65320D}"/>
                </c:ext>
              </c:extLst>
            </c:dLbl>
            <c:dLbl>
              <c:idx val="5"/>
              <c:tx>
                <c:rich>
                  <a:bodyPr/>
                  <a:lstStyle/>
                  <a:p>
                    <a:fld id="{E33DA308-A735-4006-BE29-40DB56AAD43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5E1-40E8-B4EB-9A87DB6532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Pivot_Product!$C$4:$C$9</c:f>
              <c:strCache>
                <c:ptCount val="6"/>
                <c:pt idx="0">
                  <c:v>P001</c:v>
                </c:pt>
                <c:pt idx="1">
                  <c:v>P002</c:v>
                </c:pt>
                <c:pt idx="2">
                  <c:v>P003</c:v>
                </c:pt>
                <c:pt idx="3">
                  <c:v>P006</c:v>
                </c:pt>
                <c:pt idx="4">
                  <c:v>P004</c:v>
                </c:pt>
                <c:pt idx="5">
                  <c:v>P005</c:v>
                </c:pt>
              </c:strCache>
            </c:strRef>
          </c:cat>
          <c:val>
            <c:numRef>
              <c:f>Pivot_Product!$C$4:$C$9</c:f>
              <c:numCache>
                <c:formatCode>General</c:formatCode>
                <c:ptCount val="6"/>
                <c:pt idx="0">
                  <c:v>1080000</c:v>
                </c:pt>
                <c:pt idx="1">
                  <c:v>690000</c:v>
                </c:pt>
                <c:pt idx="2">
                  <c:v>595000</c:v>
                </c:pt>
                <c:pt idx="3">
                  <c:v>84000</c:v>
                </c:pt>
                <c:pt idx="4">
                  <c:v>80000</c:v>
                </c:pt>
                <c:pt idx="5">
                  <c:v>64000</c:v>
                </c:pt>
              </c:numCache>
            </c:numRef>
          </c:val>
          <c:extLst>
            <c:ext xmlns:c15="http://schemas.microsoft.com/office/drawing/2012/chart" uri="{02D57815-91ED-43cb-92C2-25804820EDAC}">
              <c15:datalabelsRange>
                <c15:f>Pivot_Product!$C$4:$C$9</c15:f>
                <c15:dlblRangeCache>
                  <c:ptCount val="6"/>
                  <c:pt idx="0">
                    <c:v>41.65%</c:v>
                  </c:pt>
                  <c:pt idx="1">
                    <c:v>26.61%</c:v>
                  </c:pt>
                  <c:pt idx="2">
                    <c:v>22.95%</c:v>
                  </c:pt>
                  <c:pt idx="3">
                    <c:v>3.24%</c:v>
                  </c:pt>
                  <c:pt idx="4">
                    <c:v>3.09%</c:v>
                  </c:pt>
                  <c:pt idx="5">
                    <c:v>2.47%</c:v>
                  </c:pt>
                </c15:dlblRangeCache>
              </c15:datalabelsRange>
            </c:ext>
            <c:ext xmlns:c16="http://schemas.microsoft.com/office/drawing/2014/chart" uri="{C3380CC4-5D6E-409C-BE32-E72D297353CC}">
              <c16:uniqueId val="{00000006-95E1-40E8-B4EB-9A87DB65320D}"/>
            </c:ext>
          </c:extLst>
        </c:ser>
        <c:ser>
          <c:idx val="1"/>
          <c:order val="1"/>
          <c:tx>
            <c:strRef>
              <c:f>Pivot_Product!$C$4:$C$9</c:f>
              <c:strCache>
                <c:ptCount val="1"/>
                <c:pt idx="0">
                  <c:v>Revenue%</c:v>
                </c:pt>
              </c:strCache>
            </c:strRef>
          </c:tx>
          <c:spPr>
            <a:solidFill>
              <a:schemeClr val="accent2"/>
            </a:solidFill>
            <a:ln>
              <a:noFill/>
            </a:ln>
            <a:effectLst/>
          </c:spPr>
          <c:invertIfNegative val="0"/>
          <c:cat>
            <c:strRef>
              <c:f>Pivot_Product!$C$4:$C$9</c:f>
              <c:strCache>
                <c:ptCount val="6"/>
                <c:pt idx="0">
                  <c:v>P001</c:v>
                </c:pt>
                <c:pt idx="1">
                  <c:v>P002</c:v>
                </c:pt>
                <c:pt idx="2">
                  <c:v>P003</c:v>
                </c:pt>
                <c:pt idx="3">
                  <c:v>P006</c:v>
                </c:pt>
                <c:pt idx="4">
                  <c:v>P004</c:v>
                </c:pt>
                <c:pt idx="5">
                  <c:v>P005</c:v>
                </c:pt>
              </c:strCache>
            </c:strRef>
          </c:cat>
          <c:val>
            <c:numRef>
              <c:f>Pivot_Product!$C$4:$C$9</c:f>
              <c:numCache>
                <c:formatCode>0.00%</c:formatCode>
                <c:ptCount val="6"/>
                <c:pt idx="0">
                  <c:v>0.41650597763208641</c:v>
                </c:pt>
                <c:pt idx="1">
                  <c:v>0.2661010412649441</c:v>
                </c:pt>
                <c:pt idx="2">
                  <c:v>0.22946394138064019</c:v>
                </c:pt>
                <c:pt idx="3">
                  <c:v>3.2394909371384499E-2</c:v>
                </c:pt>
                <c:pt idx="4">
                  <c:v>3.0852294639413805E-2</c:v>
                </c:pt>
                <c:pt idx="5">
                  <c:v>2.4681835711531045E-2</c:v>
                </c:pt>
              </c:numCache>
            </c:numRef>
          </c:val>
          <c:extLst>
            <c:ext xmlns:c16="http://schemas.microsoft.com/office/drawing/2014/chart" uri="{C3380CC4-5D6E-409C-BE32-E72D297353CC}">
              <c16:uniqueId val="{00000007-95E1-40E8-B4EB-9A87DB65320D}"/>
            </c:ext>
          </c:extLst>
        </c:ser>
        <c:dLbls>
          <c:showLegendKey val="0"/>
          <c:showVal val="0"/>
          <c:showCatName val="0"/>
          <c:showSerName val="0"/>
          <c:showPercent val="0"/>
          <c:showBubbleSize val="0"/>
        </c:dLbls>
        <c:gapWidth val="40"/>
        <c:axId val="1642495824"/>
        <c:axId val="1642494864"/>
      </c:barChart>
      <c:catAx>
        <c:axId val="164249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42494864"/>
        <c:crosses val="autoZero"/>
        <c:auto val="1"/>
        <c:lblAlgn val="ctr"/>
        <c:lblOffset val="100"/>
        <c:noMultiLvlLbl val="0"/>
      </c:catAx>
      <c:valAx>
        <c:axId val="1642494864"/>
        <c:scaling>
          <c:orientation val="minMax"/>
        </c:scaling>
        <c:delete val="1"/>
        <c:axPos val="b"/>
        <c:numFmt formatCode="General" sourceLinked="1"/>
        <c:majorTickMark val="none"/>
        <c:minorTickMark val="none"/>
        <c:tickLblPos val="nextTo"/>
        <c:crossAx val="164249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[sales-performance-dashboard-excel.xlsx]Pivot_Product!PivotTable11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contribution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1434244384312451E-3"/>
              <c:y val="-4.80780309240002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8755775205545008"/>
                  <c:h val="0.10857273592141604"/>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9914469224767881"/>
          <c:y val="0.14768462420544901"/>
          <c:w val="0.38742039605687867"/>
          <c:h val="0.64957476546147641"/>
        </c:manualLayout>
      </c:layout>
      <c:doughnutChart>
        <c:varyColors val="1"/>
        <c:ser>
          <c:idx val="0"/>
          <c:order val="0"/>
          <c:tx>
            <c:strRef>
              <c:f>Pivot_Product!$K$13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C1-4A9B-A958-E2D87939E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C1-4A9B-A958-E2D87939E2DE}"/>
              </c:ext>
            </c:extLst>
          </c:dPt>
          <c:dLbls>
            <c:dLbl>
              <c:idx val="1"/>
              <c:layout>
                <c:manualLayout>
                  <c:x val="-7.1434244384312451E-3"/>
                  <c:y val="-4.80780309240002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8755775205545008"/>
                      <c:h val="0.10857273592141604"/>
                    </c:manualLayout>
                  </c15:layout>
                </c:ext>
                <c:ext xmlns:c16="http://schemas.microsoft.com/office/drawing/2014/chart" uri="{C3380CC4-5D6E-409C-BE32-E72D297353CC}">
                  <c16:uniqueId val="{00000003-CDC1-4A9B-A958-E2D87939E2D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Pivot_Product!$J$14:$J$16</c:f>
              <c:strCache>
                <c:ptCount val="2"/>
                <c:pt idx="0">
                  <c:v>Corporate</c:v>
                </c:pt>
                <c:pt idx="1">
                  <c:v>Retail</c:v>
                </c:pt>
              </c:strCache>
            </c:strRef>
          </c:cat>
          <c:val>
            <c:numRef>
              <c:f>Pivot_Product!$K$14:$K$16</c:f>
              <c:numCache>
                <c:formatCode>"₹"\ #,##0.00</c:formatCode>
                <c:ptCount val="2"/>
                <c:pt idx="0">
                  <c:v>1510000</c:v>
                </c:pt>
                <c:pt idx="1">
                  <c:v>1083000</c:v>
                </c:pt>
              </c:numCache>
            </c:numRef>
          </c:val>
          <c:extLst>
            <c:ext xmlns:c16="http://schemas.microsoft.com/office/drawing/2014/chart" uri="{C3380CC4-5D6E-409C-BE32-E72D297353CC}">
              <c16:uniqueId val="{00000004-CDC1-4A9B-A958-E2D87939E2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480786</xdr:colOff>
      <xdr:row>19</xdr:row>
      <xdr:rowOff>180917</xdr:rowOff>
    </xdr:from>
    <xdr:to>
      <xdr:col>13</xdr:col>
      <xdr:colOff>82214</xdr:colOff>
      <xdr:row>32</xdr:row>
      <xdr:rowOff>52917</xdr:rowOff>
    </xdr:to>
    <xdr:graphicFrame macro="">
      <xdr:nvGraphicFramePr>
        <xdr:cNvPr id="4" name="Chart 3">
          <a:extLst>
            <a:ext uri="{FF2B5EF4-FFF2-40B4-BE49-F238E27FC236}">
              <a16:creationId xmlns:a16="http://schemas.microsoft.com/office/drawing/2014/main" id="{512136CE-FEBA-42BE-80A6-158F137F6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xdr:col>
      <xdr:colOff>480786</xdr:colOff>
      <xdr:row>8</xdr:row>
      <xdr:rowOff>145976</xdr:rowOff>
    </xdr:from>
    <xdr:to>
      <xdr:col>13</xdr:col>
      <xdr:colOff>82214</xdr:colOff>
      <xdr:row>18</xdr:row>
      <xdr:rowOff>199572</xdr:rowOff>
    </xdr:to>
    <xdr:graphicFrame macro="">
      <xdr:nvGraphicFramePr>
        <xdr:cNvPr id="2" name="Chart 1">
          <a:extLst>
            <a:ext uri="{FF2B5EF4-FFF2-40B4-BE49-F238E27FC236}">
              <a16:creationId xmlns:a16="http://schemas.microsoft.com/office/drawing/2014/main" id="{C89D9159-7C75-4644-B0BE-7B9583C9CD1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434572</xdr:colOff>
      <xdr:row>8</xdr:row>
      <xdr:rowOff>145976</xdr:rowOff>
    </xdr:from>
    <xdr:to>
      <xdr:col>23</xdr:col>
      <xdr:colOff>0</xdr:colOff>
      <xdr:row>18</xdr:row>
      <xdr:rowOff>168656</xdr:rowOff>
    </xdr:to>
    <xdr:graphicFrame macro="">
      <xdr:nvGraphicFramePr>
        <xdr:cNvPr id="3" name="Chart 2">
          <a:extLst>
            <a:ext uri="{FF2B5EF4-FFF2-40B4-BE49-F238E27FC236}">
              <a16:creationId xmlns:a16="http://schemas.microsoft.com/office/drawing/2014/main" id="{53863FC0-713F-48E3-862C-28F84AF5B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2562678</xdr:colOff>
      <xdr:row>0</xdr:row>
      <xdr:rowOff>2</xdr:rowOff>
    </xdr:from>
    <xdr:ext cx="9797143" cy="468013"/>
    <xdr:sp macro="" textlink="">
      <xdr:nvSpPr>
        <xdr:cNvPr id="5" name="TextBox 4">
          <a:extLst>
            <a:ext uri="{FF2B5EF4-FFF2-40B4-BE49-F238E27FC236}">
              <a16:creationId xmlns:a16="http://schemas.microsoft.com/office/drawing/2014/main" id="{79824131-022C-6372-18CD-5F85A0A114F3}"/>
            </a:ext>
          </a:extLst>
        </xdr:cNvPr>
        <xdr:cNvSpPr txBox="1"/>
      </xdr:nvSpPr>
      <xdr:spPr>
        <a:xfrm>
          <a:off x="3174999" y="2"/>
          <a:ext cx="97971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t>Sales Performance Dashboard (Jan -</a:t>
          </a:r>
          <a:r>
            <a:rPr lang="en-IN" sz="2400" b="1" baseline="0"/>
            <a:t> Mar 2024)</a:t>
          </a:r>
          <a:endParaRPr lang="en-IN" sz="2400" b="1"/>
        </a:p>
      </xdr:txBody>
    </xdr:sp>
    <xdr:clientData/>
  </xdr:oneCellAnchor>
  <xdr:twoCellAnchor>
    <xdr:from>
      <xdr:col>0</xdr:col>
      <xdr:colOff>196547</xdr:colOff>
      <xdr:row>3</xdr:row>
      <xdr:rowOff>0</xdr:rowOff>
    </xdr:from>
    <xdr:to>
      <xdr:col>1</xdr:col>
      <xdr:colOff>1864174</xdr:colOff>
      <xdr:row>7</xdr:row>
      <xdr:rowOff>-1</xdr:rowOff>
    </xdr:to>
    <mc:AlternateContent xmlns:mc="http://schemas.openxmlformats.org/markup-compatibility/2006" xmlns:a14="http://schemas.microsoft.com/office/drawing/2010/main">
      <mc:Choice Requires="a14">
        <xdr:graphicFrame macro="">
          <xdr:nvGraphicFramePr>
            <xdr:cNvPr id="10" name="Product_ID">
              <a:extLst>
                <a:ext uri="{FF2B5EF4-FFF2-40B4-BE49-F238E27FC236}">
                  <a16:creationId xmlns:a16="http://schemas.microsoft.com/office/drawing/2014/main" id="{C5F8DDE0-0C22-484B-ACED-25C9C99DE98E}"/>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96547" y="555625"/>
              <a:ext cx="2276169" cy="10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300871</xdr:colOff>
      <xdr:row>3</xdr:row>
      <xdr:rowOff>1</xdr:rowOff>
    </xdr:from>
    <xdr:to>
      <xdr:col>8</xdr:col>
      <xdr:colOff>226785</xdr:colOff>
      <xdr:row>7</xdr:row>
      <xdr:rowOff>0</xdr:rowOff>
    </xdr:to>
    <mc:AlternateContent xmlns:mc="http://schemas.openxmlformats.org/markup-compatibility/2006" xmlns:a14="http://schemas.microsoft.com/office/drawing/2010/main">
      <mc:Choice Requires="a14">
        <xdr:graphicFrame macro="">
          <xdr:nvGraphicFramePr>
            <xdr:cNvPr id="11" name="Sales_Rep">
              <a:extLst>
                <a:ext uri="{FF2B5EF4-FFF2-40B4-BE49-F238E27FC236}">
                  <a16:creationId xmlns:a16="http://schemas.microsoft.com/office/drawing/2014/main" id="{3B8019F6-0979-46EC-92FD-9BBCF156C929}"/>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4807607" y="555626"/>
              <a:ext cx="2360081" cy="10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1945817</xdr:colOff>
      <xdr:row>3</xdr:row>
      <xdr:rowOff>0</xdr:rowOff>
    </xdr:from>
    <xdr:to>
      <xdr:col>4</xdr:col>
      <xdr:colOff>237371</xdr:colOff>
      <xdr:row>7</xdr:row>
      <xdr:rowOff>0</xdr:rowOff>
    </xdr:to>
    <mc:AlternateContent xmlns:mc="http://schemas.openxmlformats.org/markup-compatibility/2006" xmlns:a14="http://schemas.microsoft.com/office/drawing/2010/main">
      <mc:Choice Requires="a14">
        <xdr:graphicFrame macro="">
          <xdr:nvGraphicFramePr>
            <xdr:cNvPr id="13" name="Months (Order_Date)">
              <a:extLst>
                <a:ext uri="{FF2B5EF4-FFF2-40B4-BE49-F238E27FC236}">
                  <a16:creationId xmlns:a16="http://schemas.microsoft.com/office/drawing/2014/main" id="{46B48C3F-E2B4-4F53-93BD-4398370499FB}"/>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2554359" y="555625"/>
              <a:ext cx="2189748" cy="1023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196547</xdr:colOff>
      <xdr:row>7</xdr:row>
      <xdr:rowOff>173190</xdr:rowOff>
    </xdr:from>
    <xdr:to>
      <xdr:col>8</xdr:col>
      <xdr:colOff>226785</xdr:colOff>
      <xdr:row>7</xdr:row>
      <xdr:rowOff>173190</xdr:rowOff>
    </xdr:to>
    <xdr:cxnSp macro="">
      <xdr:nvCxnSpPr>
        <xdr:cNvPr id="16" name="Straight Connector 15">
          <a:extLst>
            <a:ext uri="{FF2B5EF4-FFF2-40B4-BE49-F238E27FC236}">
              <a16:creationId xmlns:a16="http://schemas.microsoft.com/office/drawing/2014/main" id="{04D9FA8B-962E-3A6A-4012-35EDF4CAD31C}"/>
            </a:ext>
          </a:extLst>
        </xdr:cNvPr>
        <xdr:cNvCxnSpPr/>
      </xdr:nvCxnSpPr>
      <xdr:spPr>
        <a:xfrm>
          <a:off x="196547" y="1733476"/>
          <a:ext cx="69608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467430</xdr:colOff>
      <xdr:row>19</xdr:row>
      <xdr:rowOff>158750</xdr:rowOff>
    </xdr:from>
    <xdr:to>
      <xdr:col>23</xdr:col>
      <xdr:colOff>35277</xdr:colOff>
      <xdr:row>32</xdr:row>
      <xdr:rowOff>8820</xdr:rowOff>
    </xdr:to>
    <xdr:graphicFrame macro="">
      <xdr:nvGraphicFramePr>
        <xdr:cNvPr id="6" name="Chart 5">
          <a:extLst>
            <a:ext uri="{FF2B5EF4-FFF2-40B4-BE49-F238E27FC236}">
              <a16:creationId xmlns:a16="http://schemas.microsoft.com/office/drawing/2014/main" id="{4AC2C38F-57FA-4D3F-8100-398167B9B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0.0118</cdr:x>
      <cdr:y>0.80879</cdr:y>
    </cdr:from>
    <cdr:to>
      <cdr:x>0.88643</cdr:x>
      <cdr:y>1</cdr:y>
    </cdr:to>
    <cdr:sp macro="" textlink="">
      <cdr:nvSpPr>
        <cdr:cNvPr id="2" name="TextBox 1">
          <a:extLst xmlns:a="http://schemas.openxmlformats.org/drawingml/2006/main">
            <a:ext uri="{FF2B5EF4-FFF2-40B4-BE49-F238E27FC236}">
              <a16:creationId xmlns:a16="http://schemas.microsoft.com/office/drawing/2014/main" id="{D9EF134A-40AD-C297-A011-A7FCE136BA84}"/>
            </a:ext>
          </a:extLst>
        </cdr:cNvPr>
        <cdr:cNvSpPr txBox="1"/>
      </cdr:nvSpPr>
      <cdr:spPr>
        <a:xfrm xmlns:a="http://schemas.openxmlformats.org/drawingml/2006/main">
          <a:off x="50800" y="2336800"/>
          <a:ext cx="3765550" cy="5524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0.0472</cdr:x>
      <cdr:y>0.78681</cdr:y>
    </cdr:from>
    <cdr:to>
      <cdr:x>0.49853</cdr:x>
      <cdr:y>1</cdr:y>
    </cdr:to>
    <cdr:sp macro="" textlink="">
      <cdr:nvSpPr>
        <cdr:cNvPr id="3" name="TextBox 2">
          <a:extLst xmlns:a="http://schemas.openxmlformats.org/drawingml/2006/main">
            <a:ext uri="{FF2B5EF4-FFF2-40B4-BE49-F238E27FC236}">
              <a16:creationId xmlns:a16="http://schemas.microsoft.com/office/drawing/2014/main" id="{B5A23345-DF8D-CF2E-55DC-36CA56A4EE48}"/>
            </a:ext>
          </a:extLst>
        </cdr:cNvPr>
        <cdr:cNvSpPr txBox="1"/>
      </cdr:nvSpPr>
      <cdr:spPr>
        <a:xfrm xmlns:a="http://schemas.openxmlformats.org/drawingml/2006/main">
          <a:off x="203200" y="2273300"/>
          <a:ext cx="1943100" cy="615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0.08555</cdr:x>
      <cdr:y>0.68352</cdr:y>
    </cdr:from>
    <cdr:to>
      <cdr:x>0.29794</cdr:x>
      <cdr:y>1</cdr:y>
    </cdr:to>
    <cdr:sp macro="" textlink="">
      <cdr:nvSpPr>
        <cdr:cNvPr id="4" name="TextBox 3">
          <a:extLst xmlns:a="http://schemas.openxmlformats.org/drawingml/2006/main">
            <a:ext uri="{FF2B5EF4-FFF2-40B4-BE49-F238E27FC236}">
              <a16:creationId xmlns:a16="http://schemas.microsoft.com/office/drawing/2014/main" id="{14E2FF85-3220-B427-2CA8-6CE3A55F3D92}"/>
            </a:ext>
          </a:extLst>
        </cdr:cNvPr>
        <cdr:cNvSpPr txBox="1"/>
      </cdr:nvSpPr>
      <cdr:spPr>
        <a:xfrm xmlns:a="http://schemas.openxmlformats.org/drawingml/2006/main">
          <a:off x="368300" y="24892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0.01032</cdr:x>
      <cdr:y>0.82393</cdr:y>
    </cdr:from>
    <cdr:to>
      <cdr:x>0.73894</cdr:x>
      <cdr:y>1</cdr:y>
    </cdr:to>
    <cdr:sp macro="" textlink="">
      <cdr:nvSpPr>
        <cdr:cNvPr id="5" name="TextBox 4">
          <a:extLst xmlns:a="http://schemas.openxmlformats.org/drawingml/2006/main">
            <a:ext uri="{FF2B5EF4-FFF2-40B4-BE49-F238E27FC236}">
              <a16:creationId xmlns:a16="http://schemas.microsoft.com/office/drawing/2014/main" id="{F557E0D9-EFB6-431B-7AB6-018AD1988036}"/>
            </a:ext>
          </a:extLst>
        </cdr:cNvPr>
        <cdr:cNvSpPr txBox="1"/>
      </cdr:nvSpPr>
      <cdr:spPr>
        <a:xfrm xmlns:a="http://schemas.openxmlformats.org/drawingml/2006/main">
          <a:off x="44450" y="2317750"/>
          <a:ext cx="3136900" cy="495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chemeClr val="tx1">
                  <a:lumMod val="50000"/>
                  <a:lumOff val="50000"/>
                </a:schemeClr>
              </a:solidFill>
            </a:rPr>
            <a:t>Revenue</a:t>
          </a:r>
          <a:r>
            <a:rPr lang="en-IN" sz="1100" b="1" kern="1200" baseline="0">
              <a:solidFill>
                <a:schemeClr val="tx1">
                  <a:lumMod val="50000"/>
                  <a:lumOff val="50000"/>
                </a:schemeClr>
              </a:solidFill>
            </a:rPr>
            <a:t> is moderately concentrated in R001 (42.8%), </a:t>
          </a:r>
        </a:p>
        <a:p xmlns:a="http://schemas.openxmlformats.org/drawingml/2006/main">
          <a:r>
            <a:rPr lang="en-IN" sz="1100" b="1" kern="1200" baseline="0">
              <a:solidFill>
                <a:schemeClr val="tx1">
                  <a:lumMod val="50000"/>
                  <a:lumOff val="50000"/>
                </a:schemeClr>
              </a:solidFill>
            </a:rPr>
            <a:t>indicating partial sales dependency</a:t>
          </a:r>
          <a:endParaRPr lang="en-IN" sz="1100" b="1" kern="1200">
            <a:solidFill>
              <a:schemeClr val="tx1">
                <a:lumMod val="50000"/>
                <a:lumOff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0.79516</cdr:x>
      <cdr:y>0.56802</cdr:y>
    </cdr:from>
    <cdr:to>
      <cdr:x>1</cdr:x>
      <cdr:y>0.91169</cdr:y>
    </cdr:to>
    <cdr:sp macro="" textlink="">
      <cdr:nvSpPr>
        <cdr:cNvPr id="2" name="TextBox 1">
          <a:extLst xmlns:a="http://schemas.openxmlformats.org/drawingml/2006/main">
            <a:ext uri="{FF2B5EF4-FFF2-40B4-BE49-F238E27FC236}">
              <a16:creationId xmlns:a16="http://schemas.microsoft.com/office/drawing/2014/main" id="{482947D8-EBE2-A20C-1528-73F15DCEA107}"/>
            </a:ext>
          </a:extLst>
        </cdr:cNvPr>
        <cdr:cNvSpPr txBox="1"/>
      </cdr:nvSpPr>
      <cdr:spPr>
        <a:xfrm xmlns:a="http://schemas.openxmlformats.org/drawingml/2006/main">
          <a:off x="3860800" y="15113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0.11949</cdr:x>
      <cdr:y>0.65632</cdr:y>
    </cdr:from>
    <cdr:to>
      <cdr:x>0.32432</cdr:x>
      <cdr:y>1</cdr:y>
    </cdr:to>
    <cdr:sp macro="" textlink="">
      <cdr:nvSpPr>
        <cdr:cNvPr id="3" name="TextBox 2">
          <a:extLst xmlns:a="http://schemas.openxmlformats.org/drawingml/2006/main">
            <a:ext uri="{FF2B5EF4-FFF2-40B4-BE49-F238E27FC236}">
              <a16:creationId xmlns:a16="http://schemas.microsoft.com/office/drawing/2014/main" id="{34DFFC04-30DA-1887-0D45-47A431933AAC}"/>
            </a:ext>
          </a:extLst>
        </cdr:cNvPr>
        <cdr:cNvSpPr txBox="1"/>
      </cdr:nvSpPr>
      <cdr:spPr>
        <a:xfrm xmlns:a="http://schemas.openxmlformats.org/drawingml/2006/main">
          <a:off x="533400" y="17462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0.00996</cdr:x>
      <cdr:y>0.87248</cdr:y>
    </cdr:from>
    <cdr:to>
      <cdr:x>0.57326</cdr:x>
      <cdr:y>0.95973</cdr:y>
    </cdr:to>
    <cdr:sp macro="" textlink="">
      <cdr:nvSpPr>
        <cdr:cNvPr id="4" name="TextBox 3">
          <a:extLst xmlns:a="http://schemas.openxmlformats.org/drawingml/2006/main">
            <a:ext uri="{FF2B5EF4-FFF2-40B4-BE49-F238E27FC236}">
              <a16:creationId xmlns:a16="http://schemas.microsoft.com/office/drawing/2014/main" id="{CAF7DAA1-9ABD-B1FA-D027-4C2682E3FFAB}"/>
            </a:ext>
          </a:extLst>
        </cdr:cNvPr>
        <cdr:cNvSpPr txBox="1"/>
      </cdr:nvSpPr>
      <cdr:spPr>
        <a:xfrm xmlns:a="http://schemas.openxmlformats.org/drawingml/2006/main">
          <a:off x="44450" y="2476500"/>
          <a:ext cx="2514600" cy="247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chemeClr val="tx1">
                  <a:lumMod val="50000"/>
                  <a:lumOff val="50000"/>
                </a:schemeClr>
              </a:solidFill>
            </a:rPr>
            <a:t>Revenue Increased</a:t>
          </a:r>
          <a:r>
            <a:rPr lang="en-IN" sz="1100" b="1" kern="1200" baseline="0">
              <a:solidFill>
                <a:schemeClr val="tx1">
                  <a:lumMod val="50000"/>
                  <a:lumOff val="50000"/>
                </a:schemeClr>
              </a:solidFill>
            </a:rPr>
            <a:t> 82% from </a:t>
          </a:r>
          <a:r>
            <a:rPr lang="en-IN" sz="1000" b="1" kern="1200" baseline="0">
              <a:solidFill>
                <a:schemeClr val="tx1">
                  <a:lumMod val="50000"/>
                  <a:lumOff val="50000"/>
                </a:schemeClr>
              </a:solidFill>
            </a:rPr>
            <a:t>JAN</a:t>
          </a:r>
          <a:r>
            <a:rPr lang="en-IN" sz="1100" b="1" kern="1200" baseline="0">
              <a:solidFill>
                <a:schemeClr val="tx1">
                  <a:lumMod val="50000"/>
                  <a:lumOff val="50000"/>
                </a:schemeClr>
              </a:solidFill>
            </a:rPr>
            <a:t> to MAR</a:t>
          </a:r>
          <a:endParaRPr lang="en-IN" sz="1100" b="1" kern="1200">
            <a:solidFill>
              <a:schemeClr val="tx1">
                <a:lumMod val="50000"/>
                <a:lumOff val="50000"/>
              </a:schemeClr>
            </a:solidFill>
          </a:endParaRPr>
        </a:p>
      </cdr:txBody>
    </cdr:sp>
  </cdr:relSizeAnchor>
  <cdr:relSizeAnchor xmlns:cdr="http://schemas.openxmlformats.org/drawingml/2006/chartDrawing">
    <cdr:from>
      <cdr:x>0.07397</cdr:x>
      <cdr:y>0.67785</cdr:y>
    </cdr:from>
    <cdr:to>
      <cdr:x>0.34566</cdr:x>
      <cdr:y>0.79418</cdr:y>
    </cdr:to>
    <cdr:sp macro="" textlink="">
      <cdr:nvSpPr>
        <cdr:cNvPr id="5" name="TextBox 4">
          <a:extLst xmlns:a="http://schemas.openxmlformats.org/drawingml/2006/main">
            <a:ext uri="{FF2B5EF4-FFF2-40B4-BE49-F238E27FC236}">
              <a16:creationId xmlns:a16="http://schemas.microsoft.com/office/drawing/2014/main" id="{5E87A4C8-A1F9-A94D-E914-4CAB22E1B59C}"/>
            </a:ext>
          </a:extLst>
        </cdr:cNvPr>
        <cdr:cNvSpPr txBox="1"/>
      </cdr:nvSpPr>
      <cdr:spPr>
        <a:xfrm xmlns:a="http://schemas.openxmlformats.org/drawingml/2006/main">
          <a:off x="330200" y="1924050"/>
          <a:ext cx="1212850" cy="330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0.05903</cdr:x>
      <cdr:y>0.66667</cdr:y>
    </cdr:from>
    <cdr:to>
      <cdr:x>0.25903</cdr:x>
      <cdr:y>1</cdr:y>
    </cdr:to>
    <cdr:sp macro="" textlink="">
      <cdr:nvSpPr>
        <cdr:cNvPr id="2" name="TextBox 1">
          <a:extLst xmlns:a="http://schemas.openxmlformats.org/drawingml/2006/main">
            <a:ext uri="{FF2B5EF4-FFF2-40B4-BE49-F238E27FC236}">
              <a16:creationId xmlns:a16="http://schemas.microsoft.com/office/drawing/2014/main" id="{C9931DDD-8DF8-6C75-B6E7-DC23C245DACC}"/>
            </a:ext>
          </a:extLst>
        </cdr:cNvPr>
        <cdr:cNvSpPr txBox="1"/>
      </cdr:nvSpPr>
      <cdr:spPr>
        <a:xfrm xmlns:a="http://schemas.openxmlformats.org/drawingml/2006/main">
          <a:off x="269875" y="25273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0.01042</cdr:x>
      <cdr:y>0.80324</cdr:y>
    </cdr:from>
    <cdr:to>
      <cdr:x>0.55625</cdr:x>
      <cdr:y>0.98611</cdr:y>
    </cdr:to>
    <cdr:sp macro="" textlink="">
      <cdr:nvSpPr>
        <cdr:cNvPr id="3" name="TextBox 2">
          <a:extLst xmlns:a="http://schemas.openxmlformats.org/drawingml/2006/main">
            <a:ext uri="{FF2B5EF4-FFF2-40B4-BE49-F238E27FC236}">
              <a16:creationId xmlns:a16="http://schemas.microsoft.com/office/drawing/2014/main" id="{60A731E2-125C-ACEA-CAAE-ACAB3D6AF292}"/>
            </a:ext>
          </a:extLst>
        </cdr:cNvPr>
        <cdr:cNvSpPr txBox="1"/>
      </cdr:nvSpPr>
      <cdr:spPr>
        <a:xfrm xmlns:a="http://schemas.openxmlformats.org/drawingml/2006/main">
          <a:off x="47625" y="2203450"/>
          <a:ext cx="2495550" cy="501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000" b="1" kern="1200">
              <a:solidFill>
                <a:schemeClr val="tx1">
                  <a:lumMod val="50000"/>
                  <a:lumOff val="50000"/>
                </a:schemeClr>
              </a:solidFill>
            </a:rPr>
            <a:t>P001 contributes 41.6% of total revenue,</a:t>
          </a:r>
          <a:r>
            <a:rPr lang="en-IN" sz="1000" b="1" kern="1200" baseline="0">
              <a:solidFill>
                <a:schemeClr val="tx1">
                  <a:lumMod val="50000"/>
                  <a:lumOff val="50000"/>
                </a:schemeClr>
              </a:solidFill>
            </a:rPr>
            <a:t> </a:t>
          </a:r>
        </a:p>
        <a:p xmlns:a="http://schemas.openxmlformats.org/drawingml/2006/main">
          <a:r>
            <a:rPr lang="en-IN" sz="1000" b="1" kern="1200" baseline="0">
              <a:solidFill>
                <a:schemeClr val="tx1">
                  <a:lumMod val="50000"/>
                  <a:lumOff val="50000"/>
                </a:schemeClr>
              </a:solidFill>
            </a:rPr>
            <a:t>indicating high product dependency.</a:t>
          </a:r>
        </a:p>
      </cdr:txBody>
    </cdr:sp>
  </cdr:relSizeAnchor>
</c:userShapes>
</file>

<file path=xl/drawings/drawing5.xml><?xml version="1.0" encoding="utf-8"?>
<c:userShapes xmlns:c="http://schemas.openxmlformats.org/drawingml/2006/chart">
  <cdr:relSizeAnchor xmlns:cdr="http://schemas.openxmlformats.org/drawingml/2006/chartDrawing">
    <cdr:from>
      <cdr:x>0.39694</cdr:x>
      <cdr:y>0.3272</cdr:y>
    </cdr:from>
    <cdr:to>
      <cdr:x>0.60306</cdr:x>
      <cdr:y>0.6728</cdr:y>
    </cdr:to>
    <cdr:sp macro="" textlink="">
      <cdr:nvSpPr>
        <cdr:cNvPr id="2" name="TextBox 1">
          <a:extLst xmlns:a="http://schemas.openxmlformats.org/drawingml/2006/main">
            <a:ext uri="{FF2B5EF4-FFF2-40B4-BE49-F238E27FC236}">
              <a16:creationId xmlns:a16="http://schemas.microsoft.com/office/drawing/2014/main" id="{A5F88758-90E0-8428-7B33-999C7C3D7C19}"/>
            </a:ext>
          </a:extLst>
        </cdr:cNvPr>
        <cdr:cNvSpPr txBox="1"/>
      </cdr:nvSpPr>
      <cdr:spPr>
        <a:xfrm xmlns:a="http://schemas.openxmlformats.org/drawingml/2006/main">
          <a:off x="1760890" y="86571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0.00795</cdr:x>
      <cdr:y>0.83333</cdr:y>
    </cdr:from>
    <cdr:to>
      <cdr:x>0.66402</cdr:x>
      <cdr:y>1</cdr:y>
    </cdr:to>
    <cdr:sp macro="" textlink="">
      <cdr:nvSpPr>
        <cdr:cNvPr id="3" name="TextBox 2">
          <a:extLst xmlns:a="http://schemas.openxmlformats.org/drawingml/2006/main">
            <a:ext uri="{FF2B5EF4-FFF2-40B4-BE49-F238E27FC236}">
              <a16:creationId xmlns:a16="http://schemas.microsoft.com/office/drawing/2014/main" id="{52F318D3-1D75-502E-501E-F553265DBA2F}"/>
            </a:ext>
          </a:extLst>
        </cdr:cNvPr>
        <cdr:cNvSpPr txBox="1"/>
      </cdr:nvSpPr>
      <cdr:spPr>
        <a:xfrm xmlns:a="http://schemas.openxmlformats.org/drawingml/2006/main">
          <a:off x="35279" y="2204862"/>
          <a:ext cx="2910416" cy="4409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chemeClr val="tx1">
                  <a:lumMod val="50000"/>
                  <a:lumOff val="50000"/>
                </a:schemeClr>
              </a:solidFill>
            </a:rPr>
            <a:t>Corporate dominates revenue mix(58%)</a:t>
          </a:r>
        </a:p>
        <a:p xmlns:a="http://schemas.openxmlformats.org/drawingml/2006/main">
          <a:r>
            <a:rPr lang="en-IN" sz="1100" b="1" kern="1200">
              <a:solidFill>
                <a:schemeClr val="tx1">
                  <a:lumMod val="50000"/>
                  <a:lumOff val="50000"/>
                </a:schemeClr>
              </a:solidFill>
            </a:rPr>
            <a:t>vs Retail (42%)</a:t>
          </a:r>
        </a:p>
      </cdr:txBody>
    </cdr:sp>
  </cdr:relSizeAnchor>
</c:userShapes>
</file>

<file path=xl/drawings/drawing6.xml><?xml version="1.0" encoding="utf-8"?>
<xdr:wsDr xmlns:xdr="http://schemas.openxmlformats.org/drawingml/2006/spreadsheetDrawing" xmlns:a="http://schemas.openxmlformats.org/drawingml/2006/main">
  <xdr:twoCellAnchor>
    <xdr:from>
      <xdr:col>8</xdr:col>
      <xdr:colOff>6350</xdr:colOff>
      <xdr:row>15</xdr:row>
      <xdr:rowOff>12700</xdr:rowOff>
    </xdr:from>
    <xdr:to>
      <xdr:col>14</xdr:col>
      <xdr:colOff>571500</xdr:colOff>
      <xdr:row>15</xdr:row>
      <xdr:rowOff>260350</xdr:rowOff>
    </xdr:to>
    <xdr:sp macro="" textlink="">
      <xdr:nvSpPr>
        <xdr:cNvPr id="10" name="Rectangle 9">
          <a:extLst>
            <a:ext uri="{FF2B5EF4-FFF2-40B4-BE49-F238E27FC236}">
              <a16:creationId xmlns:a16="http://schemas.microsoft.com/office/drawing/2014/main" id="{08F4ECDF-8212-655D-3527-891FCCBB4D01}"/>
            </a:ext>
          </a:extLst>
        </xdr:cNvPr>
        <xdr:cNvSpPr/>
      </xdr:nvSpPr>
      <xdr:spPr>
        <a:xfrm>
          <a:off x="4273550" y="1295400"/>
          <a:ext cx="422275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KPIs</a:t>
          </a:r>
        </a:p>
      </xdr:txBody>
    </xdr:sp>
    <xdr:clientData/>
  </xdr:twoCellAnchor>
  <xdr:oneCellAnchor>
    <xdr:from>
      <xdr:col>1</xdr:col>
      <xdr:colOff>565150</xdr:colOff>
      <xdr:row>2</xdr:row>
      <xdr:rowOff>0</xdr:rowOff>
    </xdr:from>
    <xdr:ext cx="8768811" cy="593304"/>
    <xdr:sp macro="" textlink="">
      <xdr:nvSpPr>
        <xdr:cNvPr id="2" name="TextBox 1">
          <a:extLst>
            <a:ext uri="{FF2B5EF4-FFF2-40B4-BE49-F238E27FC236}">
              <a16:creationId xmlns:a16="http://schemas.microsoft.com/office/drawing/2014/main" id="{14B07B75-D802-8979-C104-DD39BBC4CE77}"/>
            </a:ext>
          </a:extLst>
        </xdr:cNvPr>
        <xdr:cNvSpPr txBox="1"/>
      </xdr:nvSpPr>
      <xdr:spPr>
        <a:xfrm>
          <a:off x="1174750" y="546100"/>
          <a:ext cx="876881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Objective</a:t>
          </a:r>
          <a:r>
            <a:rPr lang="en-IN" sz="1400" b="1"/>
            <a:t>:- Analyze sales data to track revenue trends ,</a:t>
          </a:r>
          <a:r>
            <a:rPr lang="en-IN" sz="1400" b="1" baseline="0"/>
            <a:t> product performance , sales representative contribution,</a:t>
          </a:r>
        </a:p>
        <a:p>
          <a:r>
            <a:rPr lang="en-IN" sz="1400" b="1" baseline="0"/>
            <a:t>and customer segmentation.</a:t>
          </a:r>
          <a:endParaRPr lang="en-IN" sz="1400" b="1"/>
        </a:p>
      </xdr:txBody>
    </xdr:sp>
    <xdr:clientData/>
  </xdr:oneCellAnchor>
  <xdr:twoCellAnchor>
    <xdr:from>
      <xdr:col>3</xdr:col>
      <xdr:colOff>101600</xdr:colOff>
      <xdr:row>17</xdr:row>
      <xdr:rowOff>63500</xdr:rowOff>
    </xdr:from>
    <xdr:to>
      <xdr:col>3</xdr:col>
      <xdr:colOff>190500</xdr:colOff>
      <xdr:row>17</xdr:row>
      <xdr:rowOff>152400</xdr:rowOff>
    </xdr:to>
    <xdr:sp macro="" textlink="">
      <xdr:nvSpPr>
        <xdr:cNvPr id="3" name="Star: 4 Points 2">
          <a:extLst>
            <a:ext uri="{FF2B5EF4-FFF2-40B4-BE49-F238E27FC236}">
              <a16:creationId xmlns:a16="http://schemas.microsoft.com/office/drawing/2014/main" id="{15A17911-2C01-0B2D-B9C3-7C8197B8E4D8}"/>
            </a:ext>
          </a:extLst>
        </xdr:cNvPr>
        <xdr:cNvSpPr/>
      </xdr:nvSpPr>
      <xdr:spPr>
        <a:xfrm>
          <a:off x="1320800" y="1828800"/>
          <a:ext cx="88900" cy="8890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107950</xdr:colOff>
      <xdr:row>19</xdr:row>
      <xdr:rowOff>88900</xdr:rowOff>
    </xdr:from>
    <xdr:to>
      <xdr:col>3</xdr:col>
      <xdr:colOff>196850</xdr:colOff>
      <xdr:row>19</xdr:row>
      <xdr:rowOff>177800</xdr:rowOff>
    </xdr:to>
    <xdr:sp macro="" textlink="">
      <xdr:nvSpPr>
        <xdr:cNvPr id="4" name="Star: 4 Points 3">
          <a:extLst>
            <a:ext uri="{FF2B5EF4-FFF2-40B4-BE49-F238E27FC236}">
              <a16:creationId xmlns:a16="http://schemas.microsoft.com/office/drawing/2014/main" id="{977CAB59-3193-40E4-B081-A95EA52448C9}"/>
            </a:ext>
          </a:extLst>
        </xdr:cNvPr>
        <xdr:cNvSpPr/>
      </xdr:nvSpPr>
      <xdr:spPr>
        <a:xfrm>
          <a:off x="1327150" y="2324100"/>
          <a:ext cx="88900" cy="8890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100329</xdr:colOff>
      <xdr:row>21</xdr:row>
      <xdr:rowOff>76200</xdr:rowOff>
    </xdr:from>
    <xdr:to>
      <xdr:col>3</xdr:col>
      <xdr:colOff>203200</xdr:colOff>
      <xdr:row>21</xdr:row>
      <xdr:rowOff>190500</xdr:rowOff>
    </xdr:to>
    <xdr:sp macro="" textlink="">
      <xdr:nvSpPr>
        <xdr:cNvPr id="5" name="Star: 4 Points 4">
          <a:extLst>
            <a:ext uri="{FF2B5EF4-FFF2-40B4-BE49-F238E27FC236}">
              <a16:creationId xmlns:a16="http://schemas.microsoft.com/office/drawing/2014/main" id="{55FEB04F-8C83-47C4-9BF8-6C91DD9F1985}"/>
            </a:ext>
          </a:extLst>
        </xdr:cNvPr>
        <xdr:cNvSpPr/>
      </xdr:nvSpPr>
      <xdr:spPr>
        <a:xfrm flipH="1">
          <a:off x="1319529" y="2781300"/>
          <a:ext cx="102871" cy="11430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88900</xdr:colOff>
      <xdr:row>23</xdr:row>
      <xdr:rowOff>63500</xdr:rowOff>
    </xdr:from>
    <xdr:to>
      <xdr:col>3</xdr:col>
      <xdr:colOff>203200</xdr:colOff>
      <xdr:row>23</xdr:row>
      <xdr:rowOff>177800</xdr:rowOff>
    </xdr:to>
    <xdr:sp macro="" textlink="">
      <xdr:nvSpPr>
        <xdr:cNvPr id="6" name="Star: 4 Points 5">
          <a:extLst>
            <a:ext uri="{FF2B5EF4-FFF2-40B4-BE49-F238E27FC236}">
              <a16:creationId xmlns:a16="http://schemas.microsoft.com/office/drawing/2014/main" id="{0B413692-5956-FB0A-CA66-B5FD42D5A15B}"/>
            </a:ext>
          </a:extLst>
        </xdr:cNvPr>
        <xdr:cNvSpPr/>
      </xdr:nvSpPr>
      <xdr:spPr>
        <a:xfrm>
          <a:off x="1308100" y="3238500"/>
          <a:ext cx="114300" cy="11430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107950</xdr:colOff>
      <xdr:row>25</xdr:row>
      <xdr:rowOff>63500</xdr:rowOff>
    </xdr:from>
    <xdr:to>
      <xdr:col>3</xdr:col>
      <xdr:colOff>215900</xdr:colOff>
      <xdr:row>25</xdr:row>
      <xdr:rowOff>184150</xdr:rowOff>
    </xdr:to>
    <xdr:sp macro="" textlink="">
      <xdr:nvSpPr>
        <xdr:cNvPr id="7" name="Star: 4 Points 6">
          <a:extLst>
            <a:ext uri="{FF2B5EF4-FFF2-40B4-BE49-F238E27FC236}">
              <a16:creationId xmlns:a16="http://schemas.microsoft.com/office/drawing/2014/main" id="{04595CD1-D62A-9ACE-F8C5-D586A64C3BD7}"/>
            </a:ext>
          </a:extLst>
        </xdr:cNvPr>
        <xdr:cNvSpPr/>
      </xdr:nvSpPr>
      <xdr:spPr>
        <a:xfrm>
          <a:off x="1327150" y="3708400"/>
          <a:ext cx="107950" cy="12065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15</xdr:row>
      <xdr:rowOff>19050</xdr:rowOff>
    </xdr:from>
    <xdr:to>
      <xdr:col>5</xdr:col>
      <xdr:colOff>584200</xdr:colOff>
      <xdr:row>15</xdr:row>
      <xdr:rowOff>292100</xdr:rowOff>
    </xdr:to>
    <xdr:sp macro="" textlink="">
      <xdr:nvSpPr>
        <xdr:cNvPr id="8" name="Rectangle 7">
          <a:extLst>
            <a:ext uri="{FF2B5EF4-FFF2-40B4-BE49-F238E27FC236}">
              <a16:creationId xmlns:a16="http://schemas.microsoft.com/office/drawing/2014/main" id="{BA42FCB5-6D65-89A3-A14B-50A08262CE0C}"/>
            </a:ext>
          </a:extLst>
        </xdr:cNvPr>
        <xdr:cNvSpPr/>
      </xdr:nvSpPr>
      <xdr:spPr>
        <a:xfrm>
          <a:off x="1257300" y="1301750"/>
          <a:ext cx="1765300" cy="273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Tools Used :-</a:t>
          </a:r>
        </a:p>
      </xdr:txBody>
    </xdr:sp>
    <xdr:clientData/>
  </xdr:twoCellAnchor>
  <xdr:oneCellAnchor>
    <xdr:from>
      <xdr:col>2</xdr:col>
      <xdr:colOff>19050</xdr:colOff>
      <xdr:row>7</xdr:row>
      <xdr:rowOff>31750</xdr:rowOff>
    </xdr:from>
    <xdr:ext cx="8502650" cy="1295399"/>
    <xdr:sp macro="" textlink="">
      <xdr:nvSpPr>
        <xdr:cNvPr id="11" name="TextBox 10">
          <a:extLst>
            <a:ext uri="{FF2B5EF4-FFF2-40B4-BE49-F238E27FC236}">
              <a16:creationId xmlns:a16="http://schemas.microsoft.com/office/drawing/2014/main" id="{19831748-84EE-D016-E015-C34C3A0E0BE2}"/>
            </a:ext>
          </a:extLst>
        </xdr:cNvPr>
        <xdr:cNvSpPr txBox="1"/>
      </xdr:nvSpPr>
      <xdr:spPr>
        <a:xfrm>
          <a:off x="1238250" y="1498600"/>
          <a:ext cx="8502650" cy="1295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100" b="1"/>
            <a:t>1.</a:t>
          </a:r>
          <a:r>
            <a:rPr lang="en-IN" sz="1100" b="1" baseline="0"/>
            <a:t>   </a:t>
          </a:r>
          <a:r>
            <a:rPr lang="en-IN" sz="1100" b="1"/>
            <a:t>Revenue increased by</a:t>
          </a:r>
          <a:r>
            <a:rPr lang="en-IN" sz="1100" b="1" baseline="0"/>
            <a:t> 82% from Jan to Mar.</a:t>
          </a:r>
        </a:p>
        <a:p>
          <a:pPr algn="l"/>
          <a:endParaRPr lang="en-IN" sz="1100" b="1" baseline="0"/>
        </a:p>
        <a:p>
          <a:pPr algn="l"/>
          <a:r>
            <a:rPr lang="en-IN" sz="1100" b="1" baseline="0"/>
            <a:t>2.   P001 Contributes 41.6% of total revenue indicating product dependency .</a:t>
          </a:r>
        </a:p>
        <a:p>
          <a:pPr algn="l"/>
          <a:endParaRPr lang="en-IN" sz="1100" b="1" baseline="0"/>
        </a:p>
        <a:p>
          <a:pPr algn="l"/>
          <a:r>
            <a:rPr lang="en-IN" sz="1100" b="1" baseline="0"/>
            <a:t>3.   R001 contributes 42.8% of total revenue among sales representatives.</a:t>
          </a:r>
        </a:p>
        <a:p>
          <a:pPr algn="l"/>
          <a:endParaRPr lang="en-IN" sz="1100" b="1" baseline="0"/>
        </a:p>
        <a:p>
          <a:pPr algn="l"/>
          <a:r>
            <a:rPr lang="en-IN" sz="1100" b="1" baseline="0"/>
            <a:t>4.   Corporate customers contribute 58% of revenue vs Retail 42%.</a:t>
          </a:r>
        </a:p>
        <a:p>
          <a:pPr algn="l"/>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shree gupta" refreshedDate="46085.32504398148" createdVersion="8" refreshedVersion="8" minRefreshableVersion="3" recordCount="30" xr:uid="{FC07085C-BD4C-469C-995B-4C55A26BE543}">
  <cacheSource type="worksheet">
    <worksheetSource name="Sales_Transaction"/>
  </cacheSource>
  <cacheFields count="10">
    <cacheField name="Order_ID" numFmtId="0">
      <sharedItems containsSemiMixedTypes="0" containsString="0" containsNumber="1" containsInteger="1" minValue="1001" maxValue="1030"/>
    </cacheField>
    <cacheField name="Order_Date" numFmtId="14">
      <sharedItems containsSemiMixedTypes="0" containsNonDate="0" containsDate="1" containsString="0" minDate="2024-01-01T00:00:00" maxDate="2024-03-26T00:00:00" count="30">
        <d v="2024-01-10T00:00:00"/>
        <d v="2024-01-12T00:00:00"/>
        <d v="2024-01-01T00:00:00"/>
        <d v="2024-01-05T00:00:00"/>
        <d v="2024-01-07T00:00:00"/>
        <d v="2024-01-18T00:00:00"/>
        <d v="2024-01-21T00:00:00"/>
        <d v="2024-01-25T00:00:00"/>
        <d v="2024-01-29T00:00:00"/>
        <d v="2024-01-20T00:00:00"/>
        <d v="2024-02-03T00:00:00"/>
        <d v="2024-02-06T00:00:00"/>
        <d v="2024-02-10T00:00:00"/>
        <d v="2024-02-14T00:00:00"/>
        <d v="2024-02-18T00:00:00"/>
        <d v="2024-02-20T00:00:00"/>
        <d v="2024-02-22T00:00:00"/>
        <d v="2024-02-25T00:00:00"/>
        <d v="2024-02-27T00:00:00"/>
        <d v="2024-02-29T00:00:00"/>
        <d v="2024-03-01T00:00:00"/>
        <d v="2024-03-03T00:00:00"/>
        <d v="2024-03-05T00:00:00"/>
        <d v="2024-03-07T00:00:00"/>
        <d v="2024-03-04T00:00:00"/>
        <d v="2024-03-02T00:00:00"/>
        <d v="2024-03-10T00:00:00"/>
        <d v="2024-03-11T00:00:00"/>
        <d v="2024-03-12T00:00:00"/>
        <d v="2024-03-25T00:00:00"/>
      </sharedItems>
      <fieldGroup par="9"/>
    </cacheField>
    <cacheField name="Customer_ID" numFmtId="0">
      <sharedItems/>
    </cacheField>
    <cacheField name="Customer_Type" numFmtId="0">
      <sharedItems count="2">
        <s v="Retail"/>
        <s v="Corporate"/>
      </sharedItems>
    </cacheField>
    <cacheField name="Product_ID" numFmtId="0">
      <sharedItems count="6">
        <s v="P001"/>
        <s v="P002"/>
        <s v="P003"/>
        <s v="P004"/>
        <s v="P005"/>
        <s v="P006"/>
      </sharedItems>
    </cacheField>
    <cacheField name="Units_sold" numFmtId="0">
      <sharedItems containsSemiMixedTypes="0" containsString="0" containsNumber="1" containsInteger="1" minValue="1" maxValue="6"/>
    </cacheField>
    <cacheField name="Sales_Rep" numFmtId="0">
      <sharedItems count="3">
        <s v="R001"/>
        <s v="R002"/>
        <s v="R003"/>
      </sharedItems>
    </cacheField>
    <cacheField name="Unit_Price " numFmtId="0">
      <sharedItems containsSemiMixedTypes="0" containsString="0" containsNumber="1" containsInteger="1" minValue="5000" maxValue="60000"/>
    </cacheField>
    <cacheField name="Revenue" numFmtId="0">
      <sharedItems containsSemiMixedTypes="0" containsString="0" containsNumber="1" containsInteger="1" minValue="5000" maxValue="300000"/>
    </cacheField>
    <cacheField name="Months (Order_Date)" numFmtId="0" databaseField="0">
      <fieldGroup base="1">
        <rangePr groupBy="months" startDate="2024-01-01T00:00:00" endDate="2024-03-26T00:00:00"/>
        <groupItems count="14">
          <s v="&lt;01-01-2024"/>
          <s v="Jan"/>
          <s v="Feb"/>
          <s v="Mar"/>
          <s v="Apr"/>
          <s v="May"/>
          <s v="Jun"/>
          <s v="Jul"/>
          <s v="Aug"/>
          <s v="Sep"/>
          <s v="Oct"/>
          <s v="Nov"/>
          <s v="Dec"/>
          <s v="&gt;26-03-2024"/>
        </groupItems>
      </fieldGroup>
    </cacheField>
  </cacheFields>
  <extLst>
    <ext xmlns:x14="http://schemas.microsoft.com/office/spreadsheetml/2009/9/main" uri="{725AE2AE-9491-48be-B2B4-4EB974FC3084}">
      <x14:pivotCacheDefinition pivotCacheId="2077835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s v="C001"/>
    <x v="0"/>
    <x v="0"/>
    <n v="2"/>
    <x v="0"/>
    <n v="60000"/>
    <n v="120000"/>
  </r>
  <r>
    <n v="1002"/>
    <x v="1"/>
    <s v="C002"/>
    <x v="1"/>
    <x v="1"/>
    <n v="1"/>
    <x v="1"/>
    <n v="30000"/>
    <n v="30000"/>
  </r>
  <r>
    <n v="1003"/>
    <x v="2"/>
    <s v="C003"/>
    <x v="0"/>
    <x v="2"/>
    <n v="3"/>
    <x v="2"/>
    <n v="35000"/>
    <n v="105000"/>
  </r>
  <r>
    <n v="1004"/>
    <x v="3"/>
    <s v="C001"/>
    <x v="0"/>
    <x v="0"/>
    <n v="1"/>
    <x v="1"/>
    <n v="60000"/>
    <n v="60000"/>
  </r>
  <r>
    <n v="1005"/>
    <x v="4"/>
    <s v="C004"/>
    <x v="1"/>
    <x v="1"/>
    <n v="4"/>
    <x v="2"/>
    <n v="30000"/>
    <n v="120000"/>
  </r>
  <r>
    <n v="1006"/>
    <x v="5"/>
    <s v="C002"/>
    <x v="1"/>
    <x v="3"/>
    <n v="5"/>
    <x v="0"/>
    <n v="5000"/>
    <n v="25000"/>
  </r>
  <r>
    <n v="1007"/>
    <x v="6"/>
    <s v="C005"/>
    <x v="1"/>
    <x v="4"/>
    <n v="2"/>
    <x v="1"/>
    <n v="8000"/>
    <n v="16000"/>
  </r>
  <r>
    <n v="1008"/>
    <x v="7"/>
    <s v="C003"/>
    <x v="0"/>
    <x v="5"/>
    <n v="1"/>
    <x v="2"/>
    <n v="12000"/>
    <n v="12000"/>
  </r>
  <r>
    <n v="1009"/>
    <x v="8"/>
    <s v="C001"/>
    <x v="0"/>
    <x v="1"/>
    <n v="3"/>
    <x v="0"/>
    <n v="30000"/>
    <n v="90000"/>
  </r>
  <r>
    <n v="1010"/>
    <x v="9"/>
    <s v="C005"/>
    <x v="1"/>
    <x v="2"/>
    <n v="2"/>
    <x v="0"/>
    <n v="35000"/>
    <n v="70000"/>
  </r>
  <r>
    <n v="1011"/>
    <x v="10"/>
    <s v="C004"/>
    <x v="1"/>
    <x v="0"/>
    <n v="1"/>
    <x v="2"/>
    <n v="60000"/>
    <n v="60000"/>
  </r>
  <r>
    <n v="1012"/>
    <x v="11"/>
    <s v="C005"/>
    <x v="1"/>
    <x v="3"/>
    <n v="3"/>
    <x v="1"/>
    <n v="5000"/>
    <n v="15000"/>
  </r>
  <r>
    <n v="1013"/>
    <x v="12"/>
    <s v="C003"/>
    <x v="0"/>
    <x v="4"/>
    <n v="2"/>
    <x v="0"/>
    <n v="8000"/>
    <n v="16000"/>
  </r>
  <r>
    <n v="1014"/>
    <x v="13"/>
    <s v="C002"/>
    <x v="1"/>
    <x v="5"/>
    <n v="1"/>
    <x v="2"/>
    <n v="12000"/>
    <n v="12000"/>
  </r>
  <r>
    <n v="1015"/>
    <x v="14"/>
    <s v="C005"/>
    <x v="1"/>
    <x v="1"/>
    <n v="6"/>
    <x v="1"/>
    <n v="30000"/>
    <n v="180000"/>
  </r>
  <r>
    <n v="1016"/>
    <x v="15"/>
    <s v="C003"/>
    <x v="0"/>
    <x v="2"/>
    <n v="5"/>
    <x v="2"/>
    <n v="35000"/>
    <n v="175000"/>
  </r>
  <r>
    <n v="1017"/>
    <x v="16"/>
    <s v="C002"/>
    <x v="1"/>
    <x v="0"/>
    <n v="4"/>
    <x v="0"/>
    <n v="60000"/>
    <n v="240000"/>
  </r>
  <r>
    <n v="1018"/>
    <x v="17"/>
    <s v="C001"/>
    <x v="0"/>
    <x v="3"/>
    <n v="1"/>
    <x v="0"/>
    <n v="5000"/>
    <n v="5000"/>
  </r>
  <r>
    <n v="1019"/>
    <x v="18"/>
    <s v="C004"/>
    <x v="1"/>
    <x v="4"/>
    <n v="2"/>
    <x v="0"/>
    <n v="8000"/>
    <n v="16000"/>
  </r>
  <r>
    <n v="1020"/>
    <x v="19"/>
    <s v="C001"/>
    <x v="0"/>
    <x v="5"/>
    <n v="4"/>
    <x v="2"/>
    <n v="12000"/>
    <n v="48000"/>
  </r>
  <r>
    <n v="1021"/>
    <x v="20"/>
    <s v="C003"/>
    <x v="0"/>
    <x v="0"/>
    <n v="5"/>
    <x v="1"/>
    <n v="60000"/>
    <n v="300000"/>
  </r>
  <r>
    <n v="1022"/>
    <x v="21"/>
    <s v="C005"/>
    <x v="1"/>
    <x v="1"/>
    <n v="6"/>
    <x v="0"/>
    <n v="30000"/>
    <n v="180000"/>
  </r>
  <r>
    <n v="1023"/>
    <x v="22"/>
    <s v="C002"/>
    <x v="1"/>
    <x v="2"/>
    <n v="3"/>
    <x v="0"/>
    <n v="35000"/>
    <n v="105000"/>
  </r>
  <r>
    <n v="1024"/>
    <x v="23"/>
    <s v="C004"/>
    <x v="1"/>
    <x v="3"/>
    <n v="2"/>
    <x v="2"/>
    <n v="5000"/>
    <n v="10000"/>
  </r>
  <r>
    <n v="1025"/>
    <x v="24"/>
    <s v="C004"/>
    <x v="1"/>
    <x v="4"/>
    <n v="2"/>
    <x v="1"/>
    <n v="8000"/>
    <n v="16000"/>
  </r>
  <r>
    <n v="1026"/>
    <x v="25"/>
    <s v="C001"/>
    <x v="0"/>
    <x v="5"/>
    <n v="1"/>
    <x v="0"/>
    <n v="12000"/>
    <n v="12000"/>
  </r>
  <r>
    <n v="1027"/>
    <x v="26"/>
    <s v="C004"/>
    <x v="1"/>
    <x v="1"/>
    <n v="3"/>
    <x v="0"/>
    <n v="30000"/>
    <n v="90000"/>
  </r>
  <r>
    <n v="1028"/>
    <x v="27"/>
    <s v="C003"/>
    <x v="0"/>
    <x v="2"/>
    <n v="4"/>
    <x v="0"/>
    <n v="35000"/>
    <n v="140000"/>
  </r>
  <r>
    <n v="1029"/>
    <x v="28"/>
    <s v="C005"/>
    <x v="1"/>
    <x v="0"/>
    <n v="5"/>
    <x v="1"/>
    <n v="60000"/>
    <n v="300000"/>
  </r>
  <r>
    <n v="1030"/>
    <x v="29"/>
    <s v="C002"/>
    <x v="1"/>
    <x v="3"/>
    <n v="5"/>
    <x v="2"/>
    <n v="5000"/>
    <n v="2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C5E08-6BAE-487D-8435-AD50F34EFC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location ref="D13:H21" firstHeaderRow="1" firstDataRow="2" firstDataCol="1"/>
  <pivotFields count="10">
    <pivotField showAll="0"/>
    <pivotField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showAll="0"/>
    <pivotField axis="axisRow" showAll="0">
      <items count="7">
        <item x="0"/>
        <item x="1"/>
        <item x="2"/>
        <item x="3"/>
        <item x="4"/>
        <item x="5"/>
        <item t="default"/>
      </items>
    </pivotField>
    <pivotField dataField="1" showAll="0"/>
    <pivotField showAll="0">
      <items count="4">
        <item x="0"/>
        <item x="1"/>
        <item x="2"/>
        <item t="default"/>
      </items>
    </pivotField>
    <pivotField showAll="0"/>
    <pivotField showAll="0"/>
    <pivotField axis="axisCol"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9"/>
  </colFields>
  <colItems count="4">
    <i>
      <x v="1"/>
    </i>
    <i>
      <x v="2"/>
    </i>
    <i>
      <x v="3"/>
    </i>
    <i t="grand">
      <x/>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6FBD17-546E-4080-BE51-F342C31131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5" rowHeaderCaption="Product ID">
  <location ref="A3:C10" firstHeaderRow="0" firstDataRow="1" firstDataCol="1"/>
  <pivotFields count="10">
    <pivotField showAll="0"/>
    <pivotField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7">
    <i>
      <x/>
    </i>
    <i>
      <x v="1"/>
    </i>
    <i>
      <x v="2"/>
    </i>
    <i>
      <x v="5"/>
    </i>
    <i>
      <x v="3"/>
    </i>
    <i>
      <x v="4"/>
    </i>
    <i t="grand">
      <x/>
    </i>
  </rowItems>
  <colFields count="1">
    <field x="-2"/>
  </colFields>
  <colItems count="2">
    <i>
      <x/>
    </i>
    <i i="1">
      <x v="1"/>
    </i>
  </colItems>
  <dataFields count="2">
    <dataField name="Total Revenue" fld="8" baseField="4" baseItem="0"/>
    <dataField name="Revenue%" fld="8" showDataAs="percentOfTotal" baseField="0" baseItem="0" numFmtId="10"/>
  </dataFields>
  <chartFormats count="8">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4" count="1" selected="0">
            <x v="0"/>
          </reference>
        </references>
      </pivotArea>
    </chartFormat>
    <chartFormat chart="10" format="18">
      <pivotArea type="data" outline="0" fieldPosition="0">
        <references count="2">
          <reference field="4294967294" count="1" selected="0">
            <x v="0"/>
          </reference>
          <reference field="4" count="1" selected="0">
            <x v="1"/>
          </reference>
        </references>
      </pivotArea>
    </chartFormat>
    <chartFormat chart="10" format="19">
      <pivotArea type="data" outline="0" fieldPosition="0">
        <references count="2">
          <reference field="4294967294" count="1" selected="0">
            <x v="0"/>
          </reference>
          <reference field="4" count="1" selected="0">
            <x v="2"/>
          </reference>
        </references>
      </pivotArea>
    </chartFormat>
    <chartFormat chart="10" format="20">
      <pivotArea type="data" outline="0" fieldPosition="0">
        <references count="2">
          <reference field="4294967294" count="1" selected="0">
            <x v="0"/>
          </reference>
          <reference field="4" count="1" selected="0">
            <x v="5"/>
          </reference>
        </references>
      </pivotArea>
    </chartFormat>
    <chartFormat chart="10" format="21">
      <pivotArea type="data" outline="0" fieldPosition="0">
        <references count="2">
          <reference field="4294967294" count="1" selected="0">
            <x v="0"/>
          </reference>
          <reference field="4" count="1" selected="0">
            <x v="3"/>
          </reference>
        </references>
      </pivotArea>
    </chartFormat>
    <chartFormat chart="10" format="22">
      <pivotArea type="data" outline="0" fieldPosition="0">
        <references count="2">
          <reference field="4294967294" count="1" selected="0">
            <x v="0"/>
          </reference>
          <reference field="4" count="1" selected="0">
            <x v="4"/>
          </reference>
        </references>
      </pivotArea>
    </chartFormat>
    <chartFormat chart="10"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165CB-287B-44AD-BFEB-04097CA30A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5" rowHeaderCaption="Sales Rep ID">
  <location ref="E3:G7" firstHeaderRow="0" firstDataRow="1" firstDataCol="1"/>
  <pivotFields count="10">
    <pivotField showAll="0"/>
    <pivotField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showAll="0"/>
    <pivotField showAll="0">
      <items count="7">
        <item x="0"/>
        <item x="1"/>
        <item x="2"/>
        <item x="3"/>
        <item x="4"/>
        <item x="5"/>
        <item t="default"/>
      </items>
    </pivotField>
    <pivotField showAll="0"/>
    <pivotField axis="axisRow"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2"/>
  </colFields>
  <colItems count="2">
    <i>
      <x/>
    </i>
    <i i="1">
      <x v="1"/>
    </i>
  </colItems>
  <dataFields count="2">
    <dataField name="Sum of Revenue" fld="8" baseField="0" baseItem="0"/>
    <dataField name=" Revenue%" fld="8" showDataAs="percentOfTotal" baseField="6" baseItem="0" numFmtId="1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EA92F-4480-4938-9ECC-86BB242B31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0" rowHeaderCaption="Months">
  <location ref="J3:K7" firstHeaderRow="1" firstDataRow="1" firstDataCol="1"/>
  <pivotFields count="10">
    <pivotField showAll="0"/>
    <pivotField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showAll="0"/>
    <pivotField showAll="0">
      <items count="7">
        <item x="0"/>
        <item x="1"/>
        <item x="2"/>
        <item x="3"/>
        <item x="4"/>
        <item x="5"/>
        <item t="default"/>
      </items>
    </pivotField>
    <pivotField showAll="0"/>
    <pivotField showAll="0">
      <items count="4">
        <item x="0"/>
        <item x="1"/>
        <item x="2"/>
        <item t="default"/>
      </items>
    </pivotField>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9"/>
  </rowFields>
  <rowItems count="4">
    <i>
      <x v="1"/>
    </i>
    <i>
      <x v="2"/>
    </i>
    <i>
      <x v="3"/>
    </i>
    <i t="grand">
      <x/>
    </i>
  </rowItems>
  <colItems count="1">
    <i/>
  </colItems>
  <dataFields count="1">
    <dataField name="Sum of Revenue" fld="8"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258809-0036-426F-B9F9-E3FD5D5F7B1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1" rowHeaderCaption="Sector">
  <location ref="J13:K16" firstHeaderRow="1" firstDataRow="1" firstDataCol="1"/>
  <pivotFields count="10">
    <pivotField showAll="0"/>
    <pivotField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axis="axisRow" showAll="0">
      <items count="3">
        <item x="1"/>
        <item x="0"/>
        <item t="default"/>
      </items>
    </pivotField>
    <pivotField showAll="0">
      <items count="7">
        <item x="0"/>
        <item x="1"/>
        <item x="2"/>
        <item x="3"/>
        <item x="4"/>
        <item x="5"/>
        <item t="default"/>
      </items>
    </pivotField>
    <pivotField showAll="0"/>
    <pivotField showAll="0">
      <items count="4">
        <item x="0"/>
        <item x="1"/>
        <item x="2"/>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Total Revenue" fld="8" baseField="3" baseItem="0" numFmtId="164"/>
  </dataFields>
  <chartFormats count="3">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6D55E-C558-425E-9E56-613BD9C095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13:B17" firstHeaderRow="1" firstDataRow="1" firstDataCol="1"/>
  <pivotFields count="10">
    <pivotField showAll="0"/>
    <pivotField axis="axisRow" numFmtId="14" showAll="0">
      <items count="31">
        <item x="2"/>
        <item x="3"/>
        <item x="4"/>
        <item x="0"/>
        <item x="1"/>
        <item x="5"/>
        <item x="9"/>
        <item x="6"/>
        <item x="7"/>
        <item x="8"/>
        <item x="10"/>
        <item x="11"/>
        <item x="12"/>
        <item x="13"/>
        <item x="14"/>
        <item x="15"/>
        <item x="16"/>
        <item x="17"/>
        <item x="18"/>
        <item x="19"/>
        <item x="20"/>
        <item x="25"/>
        <item x="21"/>
        <item x="24"/>
        <item x="22"/>
        <item x="23"/>
        <item x="26"/>
        <item x="27"/>
        <item x="28"/>
        <item x="29"/>
        <item t="default"/>
      </items>
    </pivotField>
    <pivotField showAll="0"/>
    <pivotField showAll="0"/>
    <pivotField showAll="0">
      <items count="7">
        <item x="0"/>
        <item x="1"/>
        <item x="2"/>
        <item x="3"/>
        <item x="4"/>
        <item x="5"/>
        <item t="default"/>
      </items>
    </pivotField>
    <pivotField dataField="1" showAll="0"/>
    <pivotField showAll="0">
      <items count="4">
        <item x="0"/>
        <item x="1"/>
        <item x="2"/>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1"/>
  </rowFields>
  <rowItems count="4">
    <i>
      <x v="1"/>
    </i>
    <i>
      <x v="2"/>
    </i>
    <i>
      <x v="3"/>
    </i>
    <i t="grand">
      <x/>
    </i>
  </rowItems>
  <colItems count="1">
    <i/>
  </colItems>
  <dataFields count="1">
    <dataField name="Sum of Units_sold" fld="5" baseField="0" baseItem="0"/>
  </dataFields>
  <pivotTableStyleInfo name="PivotStyleLight16" showRowHeaders="1" showColHeaders="1" showRowStripes="0" showColStripes="0" showLastColumn="1"/>
  <filters count="1">
    <filter fld="1" type="dateBetween" evalOrder="-1" id="1">
      <autoFilter ref="A1">
        <filterColumn colId="0">
          <customFilters and="1">
            <customFilter operator="greaterThanOrEqual" val="45292"/>
            <customFilter operator="lessThanOrEqual" val="4538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32BDA48D-850F-44B9-AA57-189BCFE51D16}" sourceName="Product_ID">
  <pivotTables>
    <pivotTable tabId="4" name="PivotTable1"/>
    <pivotTable tabId="4" name="PivotTable11"/>
    <pivotTable tabId="4" name="PivotTable2"/>
    <pivotTable tabId="4" name="PivotTable3"/>
    <pivotTable tabId="4" name="PivotTable4"/>
    <pivotTable tabId="4" name="PivotTable8"/>
  </pivotTables>
  <data>
    <tabular pivotCacheId="2077835103">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3EC575C-6479-4867-AAA6-BAD8CBFD10B4}" sourceName="Sales_Rep">
  <pivotTables>
    <pivotTable tabId="4" name="PivotTable1"/>
    <pivotTable tabId="4" name="PivotTable11"/>
    <pivotTable tabId="4" name="PivotTable2"/>
    <pivotTable tabId="4" name="PivotTable3"/>
    <pivotTable tabId="4" name="PivotTable4"/>
    <pivotTable tabId="4" name="PivotTable8"/>
  </pivotTables>
  <data>
    <tabular pivotCacheId="20778351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F978469-4050-48C4-9603-BB5FC12F43CF}" sourceName="Months (Order_Date)">
  <pivotTables>
    <pivotTable tabId="4" name="PivotTable1"/>
    <pivotTable tabId="4" name="PivotTable11"/>
    <pivotTable tabId="4" name="PivotTable2"/>
    <pivotTable tabId="4" name="PivotTable3"/>
    <pivotTable tabId="4" name="PivotTable4"/>
    <pivotTable tabId="4" name="PivotTable8"/>
  </pivotTables>
  <data>
    <tabular pivotCacheId="2077835103">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C8EEACE2-536A-456A-AC10-84213571FAE8}" cache="Slicer_Product_ID" caption="Product_ID" style="SlicerStyleDark1" rowHeight="241300"/>
  <slicer name="Sales_Rep" xr10:uid="{B3EADAD0-787B-4EF2-B1E3-F958D3CCEB6A}" cache="Slicer_Sales_Rep" caption="Sales_Rep" style="SlicerStyleDark1" rowHeight="241300"/>
  <slicer name="Months (Order_Date)" xr10:uid="{3BB110F5-5B4F-4428-9D3E-2F3CC313DB24}" cache="Slicer_Months__Order_Date" caption="Months (Order_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3E721C-D742-4AE2-A239-F54879553889}" name="Sales_Transaction" displayName="Sales_Transaction" ref="A1:I31" totalsRowShown="0">
  <autoFilter ref="A1:I31" xr:uid="{B23E721C-D742-4AE2-A239-F54879553889}"/>
  <tableColumns count="9">
    <tableColumn id="1" xr3:uid="{6CD297F9-12F8-497D-AFCC-087ABF168AA6}" name="Order_ID"/>
    <tableColumn id="2" xr3:uid="{09EAE234-E3AA-47E4-A2C2-6AB813D35155}" name="Order_Date"/>
    <tableColumn id="3" xr3:uid="{90A597D6-8794-419D-BEA3-C19989CA150D}" name="Customer_ID"/>
    <tableColumn id="11" xr3:uid="{9F4E7B09-5B97-4E46-AE5F-F279B85CD158}" name="Customer_Type" dataDxfId="2">
      <calculatedColumnFormula>VLOOKUP(C:C,CustomerMasterTable[],3,FALSE)</calculatedColumnFormula>
    </tableColumn>
    <tableColumn id="4" xr3:uid="{EA29B948-A706-4E3E-9D37-862B83AB7951}" name="Product_ID"/>
    <tableColumn id="5" xr3:uid="{DC968D42-6D2C-471D-82B1-5DF18B915D73}" name="Units_sold"/>
    <tableColumn id="6" xr3:uid="{4FC4F6BB-0D0E-41CB-B752-5FD1ADF6727C}" name="Sales_Rep"/>
    <tableColumn id="9" xr3:uid="{8146883C-A286-4917-AE46-BAA1E0F673E9}" name="Unit_Price " dataDxfId="1">
      <calculatedColumnFormula>_xlfn.XLOOKUP(Sales_Transaction[[#This Row],[Product_ID]],tbl_ProductMaster[Product_ID],tbl_ProductMaster[Base_Price])</calculatedColumnFormula>
    </tableColumn>
    <tableColumn id="10" xr3:uid="{411D52EB-EA90-4467-844C-38FD7349D1EC}" name="Revenue" dataDxfId="0">
      <calculatedColumnFormula>Sales_Transaction[[#This Row],[Units_sold]]*Sales_Transaction[[#This Row],[Unit_Price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F758A9-B391-4DEE-9E9D-7A52B9CB82F1}" name="tbl_ProductMaster" displayName="tbl_ProductMaster" ref="A1:D7" totalsRowShown="0">
  <autoFilter ref="A1:D7" xr:uid="{50F758A9-B391-4DEE-9E9D-7A52B9CB82F1}"/>
  <tableColumns count="4">
    <tableColumn id="1" xr3:uid="{0A383945-AE80-46DD-A3F8-AFD279FA6330}" name="Product_ID"/>
    <tableColumn id="2" xr3:uid="{3AFBAE37-A8AE-4F1F-BBFA-8CB46D2DF212}" name="Product _Name"/>
    <tableColumn id="3" xr3:uid="{45D3BCA2-86BF-473E-BB9F-66C17625C485}" name="Category"/>
    <tableColumn id="4" xr3:uid="{8EF762BA-6859-4CC4-AD05-1A366CC61D78}" name="Base_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19C83-EB0A-4D57-8668-AACFD41D5AD6}" name="CustomerMasterTable" displayName="CustomerMasterTable" ref="A1:D13" totalsRowShown="0">
  <autoFilter ref="A1:D13" xr:uid="{DBF19C83-EB0A-4D57-8668-AACFD41D5AD6}"/>
  <tableColumns count="4">
    <tableColumn id="1" xr3:uid="{CCE4B592-59F2-4B82-B9E9-6BFBA00293C5}" name="Customer_ID"/>
    <tableColumn id="2" xr3:uid="{71C133DA-C8A2-47A9-BEDB-30DA1E7E3B9A}" name="Customer_Name"/>
    <tableColumn id="3" xr3:uid="{06AF1E01-0D97-4B0C-9E2D-03C03AA2E983}" name="Customer_Type"/>
    <tableColumn id="4" xr3:uid="{74052C66-0E76-4016-A4BD-35EA2A4402EF}"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E208-7182-49A2-8F84-E0ADE931E9BC}">
  <dimension ref="A1:M31"/>
  <sheetViews>
    <sheetView topLeftCell="A2" workbookViewId="0">
      <selection activeCell="A2" sqref="A2"/>
    </sheetView>
  </sheetViews>
  <sheetFormatPr defaultRowHeight="14.5" x14ac:dyDescent="0.35"/>
  <cols>
    <col min="1" max="1" width="10.54296875" customWidth="1"/>
    <col min="2" max="2" width="12.7265625" customWidth="1"/>
    <col min="3" max="3" width="13.81640625" customWidth="1"/>
    <col min="4" max="5" width="16.36328125" bestFit="1" customWidth="1"/>
    <col min="6" max="6" width="12.26953125" customWidth="1"/>
    <col min="7" max="7" width="11.6328125" customWidth="1"/>
    <col min="8" max="8" width="11.1796875" customWidth="1"/>
    <col min="9" max="9" width="12.1796875" bestFit="1" customWidth="1"/>
    <col min="10" max="10" width="10.26953125" bestFit="1" customWidth="1"/>
    <col min="13" max="13" width="13.36328125" bestFit="1" customWidth="1"/>
    <col min="14" max="14" width="13.26953125" bestFit="1" customWidth="1"/>
  </cols>
  <sheetData>
    <row r="1" spans="1:13" x14ac:dyDescent="0.35">
      <c r="A1" t="s">
        <v>1</v>
      </c>
      <c r="B1" t="s">
        <v>0</v>
      </c>
      <c r="C1" t="s">
        <v>2</v>
      </c>
      <c r="D1" t="s">
        <v>8</v>
      </c>
      <c r="E1" t="s">
        <v>39</v>
      </c>
      <c r="F1" t="s">
        <v>4</v>
      </c>
      <c r="G1" t="s">
        <v>6</v>
      </c>
      <c r="H1" t="s">
        <v>56</v>
      </c>
      <c r="I1" t="s">
        <v>57</v>
      </c>
      <c r="M1" s="2" t="s">
        <v>58</v>
      </c>
    </row>
    <row r="2" spans="1:13" x14ac:dyDescent="0.35">
      <c r="A2">
        <v>1001</v>
      </c>
      <c r="B2" s="1">
        <v>45301</v>
      </c>
      <c r="C2" t="s">
        <v>9</v>
      </c>
      <c r="D2" t="str">
        <f>VLOOKUP(C:C,CustomerMasterTable[],3,FALSE)</f>
        <v>Retail</v>
      </c>
      <c r="E2" t="s">
        <v>42</v>
      </c>
      <c r="F2">
        <v>2</v>
      </c>
      <c r="G2" t="s">
        <v>59</v>
      </c>
      <c r="H2">
        <f>_xlfn.XLOOKUP(Sales_Transaction[[#This Row],[Product_ID]],tbl_ProductMaster[Product_ID],tbl_ProductMaster[Base_Price])</f>
        <v>60000</v>
      </c>
      <c r="I2">
        <f>Sales_Transaction[[#This Row],[Units_sold]]*Sales_Transaction[[#This Row],[Unit_Price ]]</f>
        <v>120000</v>
      </c>
      <c r="M2" s="3">
        <f>SUM(Sales_Transaction[Revenue])</f>
        <v>2593000</v>
      </c>
    </row>
    <row r="3" spans="1:13" x14ac:dyDescent="0.35">
      <c r="A3">
        <v>1002</v>
      </c>
      <c r="B3" s="1">
        <v>45303</v>
      </c>
      <c r="C3" t="s">
        <v>10</v>
      </c>
      <c r="D3" t="str">
        <f>VLOOKUP(C:C,CustomerMasterTable[],3,FALSE)</f>
        <v>Corporate</v>
      </c>
      <c r="E3" t="s">
        <v>43</v>
      </c>
      <c r="F3">
        <v>1</v>
      </c>
      <c r="G3" t="s">
        <v>60</v>
      </c>
      <c r="H3">
        <f>_xlfn.XLOOKUP(Sales_Transaction[[#This Row],[Product_ID]],tbl_ProductMaster[Product_ID],tbl_ProductMaster[Base_Price])</f>
        <v>30000</v>
      </c>
      <c r="I3">
        <f>Sales_Transaction[[#This Row],[Units_sold]]*Sales_Transaction[[#This Row],[Unit_Price ]]</f>
        <v>30000</v>
      </c>
    </row>
    <row r="4" spans="1:13" x14ac:dyDescent="0.35">
      <c r="A4">
        <v>1003</v>
      </c>
      <c r="B4" s="1">
        <v>45292</v>
      </c>
      <c r="C4" t="s">
        <v>11</v>
      </c>
      <c r="D4" t="str">
        <f>VLOOKUP(C:C,CustomerMasterTable[],3,FALSE)</f>
        <v>Retail</v>
      </c>
      <c r="E4" t="s">
        <v>44</v>
      </c>
      <c r="F4">
        <v>3</v>
      </c>
      <c r="G4" t="s">
        <v>61</v>
      </c>
      <c r="H4">
        <f>_xlfn.XLOOKUP(Sales_Transaction[[#This Row],[Product_ID]],tbl_ProductMaster[Product_ID],tbl_ProductMaster[Base_Price])</f>
        <v>35000</v>
      </c>
      <c r="I4">
        <f>Sales_Transaction[[#This Row],[Units_sold]]*Sales_Transaction[[#This Row],[Unit_Price ]]</f>
        <v>105000</v>
      </c>
    </row>
    <row r="5" spans="1:13" x14ac:dyDescent="0.35">
      <c r="A5">
        <v>1004</v>
      </c>
      <c r="B5" s="1">
        <v>45296</v>
      </c>
      <c r="C5" t="s">
        <v>9</v>
      </c>
      <c r="D5" t="str">
        <f>VLOOKUP(C:C,CustomerMasterTable[],3,FALSE)</f>
        <v>Retail</v>
      </c>
      <c r="E5" t="s">
        <v>42</v>
      </c>
      <c r="F5">
        <v>1</v>
      </c>
      <c r="G5" t="s">
        <v>60</v>
      </c>
      <c r="H5">
        <f>_xlfn.XLOOKUP(Sales_Transaction[[#This Row],[Product_ID]],tbl_ProductMaster[Product_ID],tbl_ProductMaster[Base_Price])</f>
        <v>60000</v>
      </c>
      <c r="I5">
        <f>Sales_Transaction[[#This Row],[Units_sold]]*Sales_Transaction[[#This Row],[Unit_Price ]]</f>
        <v>60000</v>
      </c>
    </row>
    <row r="6" spans="1:13" x14ac:dyDescent="0.35">
      <c r="A6">
        <v>1005</v>
      </c>
      <c r="B6" s="1">
        <v>45298</v>
      </c>
      <c r="C6" t="s">
        <v>12</v>
      </c>
      <c r="D6" t="str">
        <f>VLOOKUP(C:C,CustomerMasterTable[],3,FALSE)</f>
        <v>Corporate</v>
      </c>
      <c r="E6" t="s">
        <v>43</v>
      </c>
      <c r="F6">
        <v>4</v>
      </c>
      <c r="G6" t="s">
        <v>61</v>
      </c>
      <c r="H6">
        <f>_xlfn.XLOOKUP(Sales_Transaction[[#This Row],[Product_ID]],tbl_ProductMaster[Product_ID],tbl_ProductMaster[Base_Price])</f>
        <v>30000</v>
      </c>
      <c r="I6">
        <f>Sales_Transaction[[#This Row],[Units_sold]]*Sales_Transaction[[#This Row],[Unit_Price ]]</f>
        <v>120000</v>
      </c>
    </row>
    <row r="7" spans="1:13" x14ac:dyDescent="0.35">
      <c r="A7">
        <v>1006</v>
      </c>
      <c r="B7" s="1">
        <v>45309</v>
      </c>
      <c r="C7" t="s">
        <v>10</v>
      </c>
      <c r="D7" t="str">
        <f>VLOOKUP(C:C,CustomerMasterTable[],3,FALSE)</f>
        <v>Corporate</v>
      </c>
      <c r="E7" t="s">
        <v>45</v>
      </c>
      <c r="F7">
        <v>5</v>
      </c>
      <c r="G7" t="s">
        <v>59</v>
      </c>
      <c r="H7">
        <f>_xlfn.XLOOKUP(Sales_Transaction[[#This Row],[Product_ID]],tbl_ProductMaster[Product_ID],tbl_ProductMaster[Base_Price])</f>
        <v>5000</v>
      </c>
      <c r="I7">
        <f>Sales_Transaction[[#This Row],[Units_sold]]*Sales_Transaction[[#This Row],[Unit_Price ]]</f>
        <v>25000</v>
      </c>
    </row>
    <row r="8" spans="1:13" x14ac:dyDescent="0.35">
      <c r="A8">
        <v>1007</v>
      </c>
      <c r="B8" s="1">
        <v>45312</v>
      </c>
      <c r="C8" t="s">
        <v>13</v>
      </c>
      <c r="D8" t="str">
        <f>VLOOKUP(C:C,CustomerMasterTable[],3,FALSE)</f>
        <v>Corporate</v>
      </c>
      <c r="E8" t="s">
        <v>46</v>
      </c>
      <c r="F8">
        <v>2</v>
      </c>
      <c r="G8" t="s">
        <v>60</v>
      </c>
      <c r="H8">
        <f>_xlfn.XLOOKUP(Sales_Transaction[[#This Row],[Product_ID]],tbl_ProductMaster[Product_ID],tbl_ProductMaster[Base_Price])</f>
        <v>8000</v>
      </c>
      <c r="I8">
        <f>Sales_Transaction[[#This Row],[Units_sold]]*Sales_Transaction[[#This Row],[Unit_Price ]]</f>
        <v>16000</v>
      </c>
    </row>
    <row r="9" spans="1:13" x14ac:dyDescent="0.35">
      <c r="A9">
        <v>1008</v>
      </c>
      <c r="B9" s="1">
        <v>45316</v>
      </c>
      <c r="C9" t="s">
        <v>11</v>
      </c>
      <c r="D9" t="str">
        <f>VLOOKUP(C:C,CustomerMasterTable[],3,FALSE)</f>
        <v>Retail</v>
      </c>
      <c r="E9" t="s">
        <v>47</v>
      </c>
      <c r="F9">
        <v>1</v>
      </c>
      <c r="G9" t="s">
        <v>61</v>
      </c>
      <c r="H9">
        <f>_xlfn.XLOOKUP(Sales_Transaction[[#This Row],[Product_ID]],tbl_ProductMaster[Product_ID],tbl_ProductMaster[Base_Price])</f>
        <v>12000</v>
      </c>
      <c r="I9">
        <f>Sales_Transaction[[#This Row],[Units_sold]]*Sales_Transaction[[#This Row],[Unit_Price ]]</f>
        <v>12000</v>
      </c>
    </row>
    <row r="10" spans="1:13" x14ac:dyDescent="0.35">
      <c r="A10">
        <v>1009</v>
      </c>
      <c r="B10" s="1">
        <v>45320</v>
      </c>
      <c r="C10" t="s">
        <v>9</v>
      </c>
      <c r="D10" t="str">
        <f>VLOOKUP(C:C,CustomerMasterTable[],3,FALSE)</f>
        <v>Retail</v>
      </c>
      <c r="E10" t="s">
        <v>43</v>
      </c>
      <c r="F10">
        <v>3</v>
      </c>
      <c r="G10" t="s">
        <v>59</v>
      </c>
      <c r="H10">
        <f>_xlfn.XLOOKUP(Sales_Transaction[[#This Row],[Product_ID]],tbl_ProductMaster[Product_ID],tbl_ProductMaster[Base_Price])</f>
        <v>30000</v>
      </c>
      <c r="I10">
        <f>Sales_Transaction[[#This Row],[Units_sold]]*Sales_Transaction[[#This Row],[Unit_Price ]]</f>
        <v>90000</v>
      </c>
    </row>
    <row r="11" spans="1:13" x14ac:dyDescent="0.35">
      <c r="A11">
        <v>1010</v>
      </c>
      <c r="B11" s="1">
        <v>45311</v>
      </c>
      <c r="C11" t="s">
        <v>13</v>
      </c>
      <c r="D11" t="str">
        <f>VLOOKUP(C:C,CustomerMasterTable[],3,FALSE)</f>
        <v>Corporate</v>
      </c>
      <c r="E11" t="s">
        <v>44</v>
      </c>
      <c r="F11">
        <v>2</v>
      </c>
      <c r="G11" t="s">
        <v>59</v>
      </c>
      <c r="H11">
        <f>_xlfn.XLOOKUP(Sales_Transaction[[#This Row],[Product_ID]],tbl_ProductMaster[Product_ID],tbl_ProductMaster[Base_Price])</f>
        <v>35000</v>
      </c>
      <c r="I11">
        <f>Sales_Transaction[[#This Row],[Units_sold]]*Sales_Transaction[[#This Row],[Unit_Price ]]</f>
        <v>70000</v>
      </c>
    </row>
    <row r="12" spans="1:13" x14ac:dyDescent="0.35">
      <c r="A12">
        <v>1011</v>
      </c>
      <c r="B12" s="1">
        <v>45325</v>
      </c>
      <c r="C12" t="s">
        <v>12</v>
      </c>
      <c r="D12" t="str">
        <f>VLOOKUP(C:C,CustomerMasterTable[],3,FALSE)</f>
        <v>Corporate</v>
      </c>
      <c r="E12" t="s">
        <v>42</v>
      </c>
      <c r="F12">
        <v>1</v>
      </c>
      <c r="G12" t="s">
        <v>61</v>
      </c>
      <c r="H12">
        <f>_xlfn.XLOOKUP(Sales_Transaction[[#This Row],[Product_ID]],tbl_ProductMaster[Product_ID],tbl_ProductMaster[Base_Price])</f>
        <v>60000</v>
      </c>
      <c r="I12">
        <f>Sales_Transaction[[#This Row],[Units_sold]]*Sales_Transaction[[#This Row],[Unit_Price ]]</f>
        <v>60000</v>
      </c>
    </row>
    <row r="13" spans="1:13" x14ac:dyDescent="0.35">
      <c r="A13">
        <v>1012</v>
      </c>
      <c r="B13" s="1">
        <v>45328</v>
      </c>
      <c r="C13" t="s">
        <v>13</v>
      </c>
      <c r="D13" t="str">
        <f>VLOOKUP(C:C,CustomerMasterTable[],3,FALSE)</f>
        <v>Corporate</v>
      </c>
      <c r="E13" t="s">
        <v>45</v>
      </c>
      <c r="F13">
        <v>3</v>
      </c>
      <c r="G13" t="s">
        <v>60</v>
      </c>
      <c r="H13">
        <f>_xlfn.XLOOKUP(Sales_Transaction[[#This Row],[Product_ID]],tbl_ProductMaster[Product_ID],tbl_ProductMaster[Base_Price])</f>
        <v>5000</v>
      </c>
      <c r="I13">
        <f>Sales_Transaction[[#This Row],[Units_sold]]*Sales_Transaction[[#This Row],[Unit_Price ]]</f>
        <v>15000</v>
      </c>
    </row>
    <row r="14" spans="1:13" x14ac:dyDescent="0.35">
      <c r="A14">
        <v>1013</v>
      </c>
      <c r="B14" s="1">
        <v>45332</v>
      </c>
      <c r="C14" t="s">
        <v>11</v>
      </c>
      <c r="D14" t="str">
        <f>VLOOKUP(C:C,CustomerMasterTable[],3,FALSE)</f>
        <v>Retail</v>
      </c>
      <c r="E14" t="s">
        <v>46</v>
      </c>
      <c r="F14">
        <v>2</v>
      </c>
      <c r="G14" t="s">
        <v>59</v>
      </c>
      <c r="H14">
        <f>_xlfn.XLOOKUP(Sales_Transaction[[#This Row],[Product_ID]],tbl_ProductMaster[Product_ID],tbl_ProductMaster[Base_Price])</f>
        <v>8000</v>
      </c>
      <c r="I14">
        <f>Sales_Transaction[[#This Row],[Units_sold]]*Sales_Transaction[[#This Row],[Unit_Price ]]</f>
        <v>16000</v>
      </c>
    </row>
    <row r="15" spans="1:13" x14ac:dyDescent="0.35">
      <c r="A15">
        <v>1014</v>
      </c>
      <c r="B15" s="1">
        <v>45336</v>
      </c>
      <c r="C15" t="s">
        <v>10</v>
      </c>
      <c r="D15" t="str">
        <f>VLOOKUP(C:C,CustomerMasterTable[],3,FALSE)</f>
        <v>Corporate</v>
      </c>
      <c r="E15" t="s">
        <v>47</v>
      </c>
      <c r="F15">
        <v>1</v>
      </c>
      <c r="G15" t="s">
        <v>61</v>
      </c>
      <c r="H15">
        <f>_xlfn.XLOOKUP(Sales_Transaction[[#This Row],[Product_ID]],tbl_ProductMaster[Product_ID],tbl_ProductMaster[Base_Price])</f>
        <v>12000</v>
      </c>
      <c r="I15">
        <f>Sales_Transaction[[#This Row],[Units_sold]]*Sales_Transaction[[#This Row],[Unit_Price ]]</f>
        <v>12000</v>
      </c>
    </row>
    <row r="16" spans="1:13" x14ac:dyDescent="0.35">
      <c r="A16">
        <v>1015</v>
      </c>
      <c r="B16" s="1">
        <v>45340</v>
      </c>
      <c r="C16" t="s">
        <v>13</v>
      </c>
      <c r="D16" t="str">
        <f>VLOOKUP(C:C,CustomerMasterTable[],3,FALSE)</f>
        <v>Corporate</v>
      </c>
      <c r="E16" t="s">
        <v>43</v>
      </c>
      <c r="F16">
        <v>6</v>
      </c>
      <c r="G16" t="s">
        <v>60</v>
      </c>
      <c r="H16">
        <f>_xlfn.XLOOKUP(Sales_Transaction[[#This Row],[Product_ID]],tbl_ProductMaster[Product_ID],tbl_ProductMaster[Base_Price])</f>
        <v>30000</v>
      </c>
      <c r="I16">
        <f>Sales_Transaction[[#This Row],[Units_sold]]*Sales_Transaction[[#This Row],[Unit_Price ]]</f>
        <v>180000</v>
      </c>
    </row>
    <row r="17" spans="1:9" x14ac:dyDescent="0.35">
      <c r="A17">
        <v>1016</v>
      </c>
      <c r="B17" s="1">
        <v>45342</v>
      </c>
      <c r="C17" t="s">
        <v>11</v>
      </c>
      <c r="D17" t="str">
        <f>VLOOKUP(C:C,CustomerMasterTable[],3,FALSE)</f>
        <v>Retail</v>
      </c>
      <c r="E17" t="s">
        <v>44</v>
      </c>
      <c r="F17">
        <v>5</v>
      </c>
      <c r="G17" t="s">
        <v>61</v>
      </c>
      <c r="H17">
        <f>_xlfn.XLOOKUP(Sales_Transaction[[#This Row],[Product_ID]],tbl_ProductMaster[Product_ID],tbl_ProductMaster[Base_Price])</f>
        <v>35000</v>
      </c>
      <c r="I17">
        <f>Sales_Transaction[[#This Row],[Units_sold]]*Sales_Transaction[[#This Row],[Unit_Price ]]</f>
        <v>175000</v>
      </c>
    </row>
    <row r="18" spans="1:9" x14ac:dyDescent="0.35">
      <c r="A18">
        <v>1017</v>
      </c>
      <c r="B18" s="1">
        <v>45344</v>
      </c>
      <c r="C18" t="s">
        <v>10</v>
      </c>
      <c r="D18" t="str">
        <f>VLOOKUP(C:C,CustomerMasterTable[],3,FALSE)</f>
        <v>Corporate</v>
      </c>
      <c r="E18" t="s">
        <v>42</v>
      </c>
      <c r="F18">
        <v>4</v>
      </c>
      <c r="G18" t="s">
        <v>59</v>
      </c>
      <c r="H18">
        <f>_xlfn.XLOOKUP(Sales_Transaction[[#This Row],[Product_ID]],tbl_ProductMaster[Product_ID],tbl_ProductMaster[Base_Price])</f>
        <v>60000</v>
      </c>
      <c r="I18">
        <f>Sales_Transaction[[#This Row],[Units_sold]]*Sales_Transaction[[#This Row],[Unit_Price ]]</f>
        <v>240000</v>
      </c>
    </row>
    <row r="19" spans="1:9" x14ac:dyDescent="0.35">
      <c r="A19">
        <v>1018</v>
      </c>
      <c r="B19" s="1">
        <v>45347</v>
      </c>
      <c r="C19" t="s">
        <v>9</v>
      </c>
      <c r="D19" t="str">
        <f>VLOOKUP(C:C,CustomerMasterTable[],3,FALSE)</f>
        <v>Retail</v>
      </c>
      <c r="E19" t="s">
        <v>45</v>
      </c>
      <c r="F19">
        <v>1</v>
      </c>
      <c r="G19" t="s">
        <v>59</v>
      </c>
      <c r="H19">
        <f>_xlfn.XLOOKUP(Sales_Transaction[[#This Row],[Product_ID]],tbl_ProductMaster[Product_ID],tbl_ProductMaster[Base_Price])</f>
        <v>5000</v>
      </c>
      <c r="I19">
        <f>Sales_Transaction[[#This Row],[Units_sold]]*Sales_Transaction[[#This Row],[Unit_Price ]]</f>
        <v>5000</v>
      </c>
    </row>
    <row r="20" spans="1:9" x14ac:dyDescent="0.35">
      <c r="A20">
        <v>1019</v>
      </c>
      <c r="B20" s="1">
        <v>45349</v>
      </c>
      <c r="C20" t="s">
        <v>12</v>
      </c>
      <c r="D20" t="str">
        <f>VLOOKUP(C:C,CustomerMasterTable[],3,FALSE)</f>
        <v>Corporate</v>
      </c>
      <c r="E20" t="s">
        <v>46</v>
      </c>
      <c r="F20">
        <v>2</v>
      </c>
      <c r="G20" t="s">
        <v>59</v>
      </c>
      <c r="H20">
        <f>_xlfn.XLOOKUP(Sales_Transaction[[#This Row],[Product_ID]],tbl_ProductMaster[Product_ID],tbl_ProductMaster[Base_Price])</f>
        <v>8000</v>
      </c>
      <c r="I20">
        <f>Sales_Transaction[[#This Row],[Units_sold]]*Sales_Transaction[[#This Row],[Unit_Price ]]</f>
        <v>16000</v>
      </c>
    </row>
    <row r="21" spans="1:9" x14ac:dyDescent="0.35">
      <c r="A21">
        <v>1020</v>
      </c>
      <c r="B21" s="1">
        <v>45351</v>
      </c>
      <c r="C21" t="s">
        <v>9</v>
      </c>
      <c r="D21" t="str">
        <f>VLOOKUP(C:C,CustomerMasterTable[],3,FALSE)</f>
        <v>Retail</v>
      </c>
      <c r="E21" t="s">
        <v>47</v>
      </c>
      <c r="F21">
        <v>4</v>
      </c>
      <c r="G21" t="s">
        <v>61</v>
      </c>
      <c r="H21">
        <f>_xlfn.XLOOKUP(Sales_Transaction[[#This Row],[Product_ID]],tbl_ProductMaster[Product_ID],tbl_ProductMaster[Base_Price])</f>
        <v>12000</v>
      </c>
      <c r="I21">
        <f>Sales_Transaction[[#This Row],[Units_sold]]*Sales_Transaction[[#This Row],[Unit_Price ]]</f>
        <v>48000</v>
      </c>
    </row>
    <row r="22" spans="1:9" x14ac:dyDescent="0.35">
      <c r="A22">
        <v>1021</v>
      </c>
      <c r="B22" s="1">
        <v>45352</v>
      </c>
      <c r="C22" t="s">
        <v>11</v>
      </c>
      <c r="D22" t="str">
        <f>VLOOKUP(C:C,CustomerMasterTable[],3,FALSE)</f>
        <v>Retail</v>
      </c>
      <c r="E22" t="s">
        <v>42</v>
      </c>
      <c r="F22">
        <v>5</v>
      </c>
      <c r="G22" t="s">
        <v>60</v>
      </c>
      <c r="H22">
        <f>_xlfn.XLOOKUP(Sales_Transaction[[#This Row],[Product_ID]],tbl_ProductMaster[Product_ID],tbl_ProductMaster[Base_Price])</f>
        <v>60000</v>
      </c>
      <c r="I22">
        <f>Sales_Transaction[[#This Row],[Units_sold]]*Sales_Transaction[[#This Row],[Unit_Price ]]</f>
        <v>300000</v>
      </c>
    </row>
    <row r="23" spans="1:9" x14ac:dyDescent="0.35">
      <c r="A23">
        <v>1022</v>
      </c>
      <c r="B23" s="1">
        <v>45354</v>
      </c>
      <c r="C23" t="s">
        <v>13</v>
      </c>
      <c r="D23" t="str">
        <f>VLOOKUP(C:C,CustomerMasterTable[],3,FALSE)</f>
        <v>Corporate</v>
      </c>
      <c r="E23" t="s">
        <v>43</v>
      </c>
      <c r="F23">
        <v>6</v>
      </c>
      <c r="G23" t="s">
        <v>59</v>
      </c>
      <c r="H23">
        <f>_xlfn.XLOOKUP(Sales_Transaction[[#This Row],[Product_ID]],tbl_ProductMaster[Product_ID],tbl_ProductMaster[Base_Price])</f>
        <v>30000</v>
      </c>
      <c r="I23">
        <f>Sales_Transaction[[#This Row],[Units_sold]]*Sales_Transaction[[#This Row],[Unit_Price ]]</f>
        <v>180000</v>
      </c>
    </row>
    <row r="24" spans="1:9" x14ac:dyDescent="0.35">
      <c r="A24">
        <v>1023</v>
      </c>
      <c r="B24" s="1">
        <v>45356</v>
      </c>
      <c r="C24" t="s">
        <v>10</v>
      </c>
      <c r="D24" t="str">
        <f>VLOOKUP(C:C,CustomerMasterTable[],3,FALSE)</f>
        <v>Corporate</v>
      </c>
      <c r="E24" t="s">
        <v>44</v>
      </c>
      <c r="F24">
        <v>3</v>
      </c>
      <c r="G24" t="s">
        <v>59</v>
      </c>
      <c r="H24">
        <f>_xlfn.XLOOKUP(Sales_Transaction[[#This Row],[Product_ID]],tbl_ProductMaster[Product_ID],tbl_ProductMaster[Base_Price])</f>
        <v>35000</v>
      </c>
      <c r="I24">
        <f>Sales_Transaction[[#This Row],[Units_sold]]*Sales_Transaction[[#This Row],[Unit_Price ]]</f>
        <v>105000</v>
      </c>
    </row>
    <row r="25" spans="1:9" x14ac:dyDescent="0.35">
      <c r="A25">
        <v>1024</v>
      </c>
      <c r="B25" s="1">
        <v>45358</v>
      </c>
      <c r="C25" t="s">
        <v>12</v>
      </c>
      <c r="D25" t="str">
        <f>VLOOKUP(C:C,CustomerMasterTable[],3,FALSE)</f>
        <v>Corporate</v>
      </c>
      <c r="E25" t="s">
        <v>45</v>
      </c>
      <c r="F25">
        <v>2</v>
      </c>
      <c r="G25" t="s">
        <v>61</v>
      </c>
      <c r="H25">
        <f>_xlfn.XLOOKUP(Sales_Transaction[[#This Row],[Product_ID]],tbl_ProductMaster[Product_ID],tbl_ProductMaster[Base_Price])</f>
        <v>5000</v>
      </c>
      <c r="I25">
        <f>Sales_Transaction[[#This Row],[Units_sold]]*Sales_Transaction[[#This Row],[Unit_Price ]]</f>
        <v>10000</v>
      </c>
    </row>
    <row r="26" spans="1:9" x14ac:dyDescent="0.35">
      <c r="A26">
        <v>1025</v>
      </c>
      <c r="B26" s="1">
        <v>45355</v>
      </c>
      <c r="C26" t="s">
        <v>12</v>
      </c>
      <c r="D26" t="str">
        <f>VLOOKUP(C:C,CustomerMasterTable[],3,FALSE)</f>
        <v>Corporate</v>
      </c>
      <c r="E26" t="s">
        <v>46</v>
      </c>
      <c r="F26">
        <v>2</v>
      </c>
      <c r="G26" t="s">
        <v>60</v>
      </c>
      <c r="H26">
        <f>_xlfn.XLOOKUP(Sales_Transaction[[#This Row],[Product_ID]],tbl_ProductMaster[Product_ID],tbl_ProductMaster[Base_Price])</f>
        <v>8000</v>
      </c>
      <c r="I26">
        <f>Sales_Transaction[[#This Row],[Units_sold]]*Sales_Transaction[[#This Row],[Unit_Price ]]</f>
        <v>16000</v>
      </c>
    </row>
    <row r="27" spans="1:9" x14ac:dyDescent="0.35">
      <c r="A27">
        <v>1026</v>
      </c>
      <c r="B27" s="1">
        <v>45353</v>
      </c>
      <c r="C27" t="s">
        <v>9</v>
      </c>
      <c r="D27" t="str">
        <f>VLOOKUP(C:C,CustomerMasterTable[],3,FALSE)</f>
        <v>Retail</v>
      </c>
      <c r="E27" t="s">
        <v>47</v>
      </c>
      <c r="F27">
        <v>1</v>
      </c>
      <c r="G27" t="s">
        <v>59</v>
      </c>
      <c r="H27">
        <f>_xlfn.XLOOKUP(Sales_Transaction[[#This Row],[Product_ID]],tbl_ProductMaster[Product_ID],tbl_ProductMaster[Base_Price])</f>
        <v>12000</v>
      </c>
      <c r="I27">
        <f>Sales_Transaction[[#This Row],[Units_sold]]*Sales_Transaction[[#This Row],[Unit_Price ]]</f>
        <v>12000</v>
      </c>
    </row>
    <row r="28" spans="1:9" x14ac:dyDescent="0.35">
      <c r="A28">
        <v>1027</v>
      </c>
      <c r="B28" s="1">
        <v>45361</v>
      </c>
      <c r="C28" t="s">
        <v>12</v>
      </c>
      <c r="D28" t="str">
        <f>VLOOKUP(C:C,CustomerMasterTable[],3,FALSE)</f>
        <v>Corporate</v>
      </c>
      <c r="E28" t="s">
        <v>43</v>
      </c>
      <c r="F28">
        <v>3</v>
      </c>
      <c r="G28" t="s">
        <v>59</v>
      </c>
      <c r="H28">
        <f>_xlfn.XLOOKUP(Sales_Transaction[[#This Row],[Product_ID]],tbl_ProductMaster[Product_ID],tbl_ProductMaster[Base_Price])</f>
        <v>30000</v>
      </c>
      <c r="I28">
        <f>Sales_Transaction[[#This Row],[Units_sold]]*Sales_Transaction[[#This Row],[Unit_Price ]]</f>
        <v>90000</v>
      </c>
    </row>
    <row r="29" spans="1:9" x14ac:dyDescent="0.35">
      <c r="A29">
        <v>1028</v>
      </c>
      <c r="B29" s="1">
        <v>45362</v>
      </c>
      <c r="C29" t="s">
        <v>11</v>
      </c>
      <c r="D29" t="str">
        <f>VLOOKUP(C:C,CustomerMasterTable[],3,FALSE)</f>
        <v>Retail</v>
      </c>
      <c r="E29" t="s">
        <v>44</v>
      </c>
      <c r="F29">
        <v>4</v>
      </c>
      <c r="G29" t="s">
        <v>59</v>
      </c>
      <c r="H29">
        <f>_xlfn.XLOOKUP(Sales_Transaction[[#This Row],[Product_ID]],tbl_ProductMaster[Product_ID],tbl_ProductMaster[Base_Price])</f>
        <v>35000</v>
      </c>
      <c r="I29">
        <f>Sales_Transaction[[#This Row],[Units_sold]]*Sales_Transaction[[#This Row],[Unit_Price ]]</f>
        <v>140000</v>
      </c>
    </row>
    <row r="30" spans="1:9" x14ac:dyDescent="0.35">
      <c r="A30">
        <v>1029</v>
      </c>
      <c r="B30" s="1">
        <v>45363</v>
      </c>
      <c r="C30" t="s">
        <v>13</v>
      </c>
      <c r="D30" t="str">
        <f>VLOOKUP(C:C,CustomerMasterTable[],3,FALSE)</f>
        <v>Corporate</v>
      </c>
      <c r="E30" t="s">
        <v>42</v>
      </c>
      <c r="F30">
        <v>5</v>
      </c>
      <c r="G30" t="s">
        <v>60</v>
      </c>
      <c r="H30">
        <f>_xlfn.XLOOKUP(Sales_Transaction[[#This Row],[Product_ID]],tbl_ProductMaster[Product_ID],tbl_ProductMaster[Base_Price])</f>
        <v>60000</v>
      </c>
      <c r="I30">
        <f>Sales_Transaction[[#This Row],[Units_sold]]*Sales_Transaction[[#This Row],[Unit_Price ]]</f>
        <v>300000</v>
      </c>
    </row>
    <row r="31" spans="1:9" x14ac:dyDescent="0.35">
      <c r="A31">
        <v>1030</v>
      </c>
      <c r="B31" s="1">
        <v>45376</v>
      </c>
      <c r="C31" t="s">
        <v>10</v>
      </c>
      <c r="D31" t="str">
        <f>VLOOKUP(C:C,CustomerMasterTable[],3,FALSE)</f>
        <v>Corporate</v>
      </c>
      <c r="E31" t="s">
        <v>45</v>
      </c>
      <c r="F31">
        <v>5</v>
      </c>
      <c r="G31" t="s">
        <v>61</v>
      </c>
      <c r="H31">
        <f>_xlfn.XLOOKUP(Sales_Transaction[[#This Row],[Product_ID]],tbl_ProductMaster[Product_ID],tbl_ProductMaster[Base_Price])</f>
        <v>5000</v>
      </c>
      <c r="I31">
        <f>Sales_Transaction[[#This Row],[Units_sold]]*Sales_Transaction[[#This Row],[Unit_Price ]]</f>
        <v>25000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89FE-760D-4100-93EE-B0CAD04355F0}">
  <dimension ref="A1:F7"/>
  <sheetViews>
    <sheetView workbookViewId="0">
      <selection activeCell="B3" sqref="B3"/>
    </sheetView>
  </sheetViews>
  <sheetFormatPr defaultRowHeight="14.5" x14ac:dyDescent="0.35"/>
  <cols>
    <col min="1" max="1" width="12.26953125" customWidth="1"/>
    <col min="2" max="2" width="15.81640625" customWidth="1"/>
    <col min="3" max="3" width="10.26953125" customWidth="1"/>
    <col min="4" max="4" width="11.81640625" customWidth="1"/>
  </cols>
  <sheetData>
    <row r="1" spans="1:6" x14ac:dyDescent="0.35">
      <c r="A1" t="s">
        <v>39</v>
      </c>
      <c r="B1" t="s">
        <v>40</v>
      </c>
      <c r="C1" t="s">
        <v>3</v>
      </c>
      <c r="D1" t="s">
        <v>41</v>
      </c>
    </row>
    <row r="2" spans="1:6" x14ac:dyDescent="0.35">
      <c r="A2" t="s">
        <v>42</v>
      </c>
      <c r="B2" t="s">
        <v>48</v>
      </c>
      <c r="C2" t="s">
        <v>54</v>
      </c>
      <c r="D2">
        <v>60000</v>
      </c>
    </row>
    <row r="3" spans="1:6" x14ac:dyDescent="0.35">
      <c r="A3" t="s">
        <v>43</v>
      </c>
      <c r="B3" t="s">
        <v>49</v>
      </c>
      <c r="C3" t="s">
        <v>54</v>
      </c>
      <c r="D3">
        <v>30000</v>
      </c>
      <c r="F3">
        <f>COUNTIF(tbl_ProductMaster[],"P001")</f>
        <v>1</v>
      </c>
    </row>
    <row r="4" spans="1:6" x14ac:dyDescent="0.35">
      <c r="A4" t="s">
        <v>44</v>
      </c>
      <c r="B4" t="s">
        <v>50</v>
      </c>
      <c r="C4" t="s">
        <v>54</v>
      </c>
      <c r="D4">
        <v>35000</v>
      </c>
    </row>
    <row r="5" spans="1:6" x14ac:dyDescent="0.35">
      <c r="A5" t="s">
        <v>45</v>
      </c>
      <c r="B5" t="s">
        <v>51</v>
      </c>
      <c r="C5" t="s">
        <v>55</v>
      </c>
      <c r="D5">
        <v>5000</v>
      </c>
    </row>
    <row r="6" spans="1:6" x14ac:dyDescent="0.35">
      <c r="A6" t="s">
        <v>46</v>
      </c>
      <c r="B6" t="s">
        <v>52</v>
      </c>
      <c r="C6" t="s">
        <v>55</v>
      </c>
      <c r="D6">
        <v>8000</v>
      </c>
    </row>
    <row r="7" spans="1:6" x14ac:dyDescent="0.35">
      <c r="A7" t="s">
        <v>47</v>
      </c>
      <c r="B7" t="s">
        <v>53</v>
      </c>
      <c r="C7" t="s">
        <v>55</v>
      </c>
      <c r="D7">
        <v>12000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6966-9899-45CA-A9D5-1610AB95D495}">
  <dimension ref="A1:G13"/>
  <sheetViews>
    <sheetView workbookViewId="0">
      <selection activeCell="A2" sqref="A2:D13"/>
    </sheetView>
  </sheetViews>
  <sheetFormatPr defaultRowHeight="14.5" x14ac:dyDescent="0.35"/>
  <cols>
    <col min="1" max="1" width="13.81640625" customWidth="1"/>
    <col min="2" max="2" width="16.90625" customWidth="1"/>
    <col min="3" max="3" width="16" customWidth="1"/>
  </cols>
  <sheetData>
    <row r="1" spans="1:7" x14ac:dyDescent="0.35">
      <c r="A1" t="s">
        <v>2</v>
      </c>
      <c r="B1" t="s">
        <v>7</v>
      </c>
      <c r="C1" t="s">
        <v>8</v>
      </c>
      <c r="D1" t="s">
        <v>5</v>
      </c>
    </row>
    <row r="2" spans="1:7" x14ac:dyDescent="0.35">
      <c r="A2" t="s">
        <v>9</v>
      </c>
      <c r="B2" t="s">
        <v>21</v>
      </c>
      <c r="C2" t="s">
        <v>33</v>
      </c>
      <c r="D2" t="s">
        <v>35</v>
      </c>
    </row>
    <row r="3" spans="1:7" x14ac:dyDescent="0.35">
      <c r="A3" t="s">
        <v>10</v>
      </c>
      <c r="B3" t="s">
        <v>22</v>
      </c>
      <c r="C3" t="s">
        <v>34</v>
      </c>
      <c r="D3" t="s">
        <v>35</v>
      </c>
    </row>
    <row r="4" spans="1:7" x14ac:dyDescent="0.35">
      <c r="A4" t="s">
        <v>11</v>
      </c>
      <c r="B4" t="s">
        <v>23</v>
      </c>
      <c r="C4" t="s">
        <v>33</v>
      </c>
      <c r="D4" t="s">
        <v>35</v>
      </c>
    </row>
    <row r="5" spans="1:7" x14ac:dyDescent="0.35">
      <c r="A5" t="s">
        <v>12</v>
      </c>
      <c r="B5" t="s">
        <v>24</v>
      </c>
      <c r="C5" t="s">
        <v>34</v>
      </c>
      <c r="D5" t="s">
        <v>36</v>
      </c>
    </row>
    <row r="6" spans="1:7" x14ac:dyDescent="0.35">
      <c r="A6" t="s">
        <v>13</v>
      </c>
      <c r="B6" t="s">
        <v>25</v>
      </c>
      <c r="C6" t="s">
        <v>34</v>
      </c>
      <c r="D6" t="s">
        <v>36</v>
      </c>
      <c r="G6">
        <f>COUNTIF(CustomerMasterTable[],"C001")</f>
        <v>1</v>
      </c>
    </row>
    <row r="7" spans="1:7" x14ac:dyDescent="0.35">
      <c r="A7" t="s">
        <v>14</v>
      </c>
      <c r="B7" t="s">
        <v>26</v>
      </c>
      <c r="C7" t="s">
        <v>33</v>
      </c>
      <c r="D7" t="s">
        <v>36</v>
      </c>
    </row>
    <row r="8" spans="1:7" x14ac:dyDescent="0.35">
      <c r="A8" t="s">
        <v>15</v>
      </c>
      <c r="B8" t="s">
        <v>27</v>
      </c>
      <c r="C8" t="s">
        <v>33</v>
      </c>
      <c r="D8" t="s">
        <v>37</v>
      </c>
    </row>
    <row r="9" spans="1:7" x14ac:dyDescent="0.35">
      <c r="A9" t="s">
        <v>16</v>
      </c>
      <c r="B9" t="s">
        <v>28</v>
      </c>
      <c r="C9" t="s">
        <v>34</v>
      </c>
      <c r="D9" t="s">
        <v>37</v>
      </c>
    </row>
    <row r="10" spans="1:7" x14ac:dyDescent="0.35">
      <c r="A10" t="s">
        <v>17</v>
      </c>
      <c r="B10" t="s">
        <v>29</v>
      </c>
      <c r="C10" t="s">
        <v>33</v>
      </c>
      <c r="D10" t="s">
        <v>37</v>
      </c>
    </row>
    <row r="11" spans="1:7" x14ac:dyDescent="0.35">
      <c r="A11" t="s">
        <v>18</v>
      </c>
      <c r="B11" t="s">
        <v>30</v>
      </c>
      <c r="C11" t="s">
        <v>34</v>
      </c>
      <c r="D11" t="s">
        <v>38</v>
      </c>
    </row>
    <row r="12" spans="1:7" x14ac:dyDescent="0.35">
      <c r="A12" t="s">
        <v>19</v>
      </c>
      <c r="B12" t="s">
        <v>31</v>
      </c>
      <c r="C12" t="s">
        <v>34</v>
      </c>
      <c r="D12" t="s">
        <v>38</v>
      </c>
    </row>
    <row r="13" spans="1:7" x14ac:dyDescent="0.35">
      <c r="A13" t="s">
        <v>20</v>
      </c>
      <c r="B13" t="s">
        <v>32</v>
      </c>
      <c r="C13" t="s">
        <v>33</v>
      </c>
      <c r="D13" t="s">
        <v>38</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FEE9-E958-4677-95D7-FBEC1B8D9523}">
  <dimension ref="A2:P21"/>
  <sheetViews>
    <sheetView topLeftCell="B1" workbookViewId="0">
      <selection activeCell="AC25" sqref="AC25"/>
    </sheetView>
  </sheetViews>
  <sheetFormatPr defaultRowHeight="14.5" x14ac:dyDescent="0.35"/>
  <cols>
    <col min="1" max="1" width="10.7265625" bestFit="1" customWidth="1"/>
    <col min="2" max="2" width="16" bestFit="1" customWidth="1"/>
    <col min="3" max="3" width="9.453125" bestFit="1" customWidth="1"/>
    <col min="4" max="4" width="16" bestFit="1" customWidth="1"/>
    <col min="5" max="5" width="15.26953125" bestFit="1" customWidth="1"/>
    <col min="6" max="6" width="11.54296875" customWidth="1"/>
    <col min="7" max="7" width="10.6328125" customWidth="1"/>
    <col min="8" max="8" width="10.7265625" bestFit="1" customWidth="1"/>
    <col min="9" max="9" width="5.6328125" customWidth="1"/>
    <col min="10" max="10" width="10.7265625" bestFit="1" customWidth="1"/>
    <col min="11" max="11" width="15.81640625" customWidth="1"/>
    <col min="12" max="12" width="13.08984375" bestFit="1" customWidth="1"/>
    <col min="13" max="14" width="10.08984375" bestFit="1" customWidth="1"/>
    <col min="15" max="15" width="8.26953125" bestFit="1" customWidth="1"/>
    <col min="16" max="25" width="10.08984375" bestFit="1" customWidth="1"/>
    <col min="26" max="26" width="8.54296875" bestFit="1" customWidth="1"/>
    <col min="27" max="36" width="10.08984375" bestFit="1" customWidth="1"/>
    <col min="37" max="37" width="9" bestFit="1" customWidth="1"/>
    <col min="38" max="38" width="10.7265625" bestFit="1" customWidth="1"/>
  </cols>
  <sheetData>
    <row r="2" spans="1:16" x14ac:dyDescent="0.35">
      <c r="A2" s="12" t="s">
        <v>74</v>
      </c>
      <c r="B2" s="12"/>
      <c r="E2" s="2" t="s">
        <v>81</v>
      </c>
      <c r="F2" s="2"/>
      <c r="J2" s="12" t="s">
        <v>75</v>
      </c>
      <c r="K2" s="13"/>
      <c r="M2" s="13" t="s">
        <v>87</v>
      </c>
      <c r="N2" s="13"/>
      <c r="O2" s="13"/>
      <c r="P2" s="13"/>
    </row>
    <row r="3" spans="1:16" x14ac:dyDescent="0.35">
      <c r="A3" s="4" t="s">
        <v>84</v>
      </c>
      <c r="B3" t="s">
        <v>69</v>
      </c>
      <c r="C3" t="s">
        <v>79</v>
      </c>
      <c r="E3" s="4" t="s">
        <v>83</v>
      </c>
      <c r="F3" t="s">
        <v>63</v>
      </c>
      <c r="G3" t="s">
        <v>80</v>
      </c>
      <c r="J3" s="4" t="s">
        <v>85</v>
      </c>
      <c r="K3" t="s">
        <v>63</v>
      </c>
      <c r="M3" s="18">
        <f>(GETPIVOTDATA("Revenue",$J$3,"Months (Order_Date)",3)-GETPIVOTDATA("Revenue",$J$3,"Months (Order_Date)",1))/GETPIVOTDATA("Revenue",$J$3,"Months (Order_Date)",1)</f>
        <v>0.8179012345679012</v>
      </c>
      <c r="N3" s="18"/>
      <c r="O3" s="18"/>
      <c r="P3" s="18"/>
    </row>
    <row r="4" spans="1:16" x14ac:dyDescent="0.35">
      <c r="A4" s="5" t="s">
        <v>42</v>
      </c>
      <c r="B4">
        <v>1080000</v>
      </c>
      <c r="C4" s="6">
        <v>0.41650597763208641</v>
      </c>
      <c r="E4" s="5" t="s">
        <v>59</v>
      </c>
      <c r="F4">
        <v>1109000</v>
      </c>
      <c r="G4" s="6">
        <v>0.42768993443887388</v>
      </c>
      <c r="J4" s="5" t="s">
        <v>64</v>
      </c>
      <c r="K4">
        <v>648000</v>
      </c>
    </row>
    <row r="5" spans="1:16" x14ac:dyDescent="0.35">
      <c r="A5" s="5" t="s">
        <v>43</v>
      </c>
      <c r="B5">
        <v>690000</v>
      </c>
      <c r="C5" s="6">
        <v>0.2661010412649441</v>
      </c>
      <c r="E5" s="5" t="s">
        <v>60</v>
      </c>
      <c r="F5">
        <v>917000</v>
      </c>
      <c r="G5" s="6">
        <v>0.35364442730428075</v>
      </c>
      <c r="J5" s="5" t="s">
        <v>65</v>
      </c>
      <c r="K5">
        <v>767000</v>
      </c>
    </row>
    <row r="6" spans="1:16" x14ac:dyDescent="0.35">
      <c r="A6" s="5" t="s">
        <v>44</v>
      </c>
      <c r="B6">
        <v>595000</v>
      </c>
      <c r="C6" s="6">
        <v>0.22946394138064019</v>
      </c>
      <c r="E6" s="5" t="s">
        <v>61</v>
      </c>
      <c r="F6">
        <v>567000</v>
      </c>
      <c r="G6" s="6">
        <v>0.21866563825684535</v>
      </c>
      <c r="J6" s="5" t="s">
        <v>66</v>
      </c>
      <c r="K6">
        <v>1178000</v>
      </c>
    </row>
    <row r="7" spans="1:16" x14ac:dyDescent="0.35">
      <c r="A7" s="5" t="s">
        <v>47</v>
      </c>
      <c r="B7">
        <v>84000</v>
      </c>
      <c r="C7" s="6">
        <v>3.2394909371384499E-2</v>
      </c>
      <c r="E7" s="5" t="s">
        <v>62</v>
      </c>
      <c r="F7">
        <v>2593000</v>
      </c>
      <c r="G7" s="6">
        <v>1</v>
      </c>
      <c r="J7" s="5" t="s">
        <v>62</v>
      </c>
      <c r="K7">
        <v>2593000</v>
      </c>
    </row>
    <row r="8" spans="1:16" x14ac:dyDescent="0.35">
      <c r="A8" s="5" t="s">
        <v>45</v>
      </c>
      <c r="B8">
        <v>80000</v>
      </c>
      <c r="C8" s="6">
        <v>3.0852294639413805E-2</v>
      </c>
    </row>
    <row r="9" spans="1:16" x14ac:dyDescent="0.35">
      <c r="A9" s="5" t="s">
        <v>46</v>
      </c>
      <c r="B9">
        <v>64000</v>
      </c>
      <c r="C9" s="6">
        <v>2.4681835711531045E-2</v>
      </c>
    </row>
    <row r="10" spans="1:16" x14ac:dyDescent="0.35">
      <c r="A10" s="5" t="s">
        <v>62</v>
      </c>
      <c r="B10">
        <v>2593000</v>
      </c>
      <c r="C10" s="6">
        <v>1</v>
      </c>
    </row>
    <row r="12" spans="1:16" x14ac:dyDescent="0.35">
      <c r="A12" s="20" t="s">
        <v>82</v>
      </c>
      <c r="B12" s="20"/>
      <c r="D12" s="12" t="s">
        <v>76</v>
      </c>
      <c r="E12" s="13"/>
      <c r="F12" s="13"/>
      <c r="G12" s="13"/>
      <c r="H12" s="13"/>
      <c r="J12" s="19" t="s">
        <v>78</v>
      </c>
      <c r="K12" s="19"/>
      <c r="L12" s="19"/>
    </row>
    <row r="13" spans="1:16" x14ac:dyDescent="0.35">
      <c r="A13" s="4" t="s">
        <v>85</v>
      </c>
      <c r="B13" t="s">
        <v>68</v>
      </c>
      <c r="D13" s="4" t="s">
        <v>68</v>
      </c>
      <c r="E13" s="4" t="s">
        <v>67</v>
      </c>
      <c r="J13" s="4" t="s">
        <v>86</v>
      </c>
      <c r="K13" t="s">
        <v>69</v>
      </c>
    </row>
    <row r="14" spans="1:16" x14ac:dyDescent="0.35">
      <c r="A14" s="5" t="s">
        <v>64</v>
      </c>
      <c r="B14">
        <v>24</v>
      </c>
      <c r="D14" s="4" t="s">
        <v>84</v>
      </c>
      <c r="E14" t="s">
        <v>64</v>
      </c>
      <c r="F14" t="s">
        <v>65</v>
      </c>
      <c r="G14" t="s">
        <v>66</v>
      </c>
      <c r="H14" t="s">
        <v>62</v>
      </c>
      <c r="J14" s="5" t="s">
        <v>34</v>
      </c>
      <c r="K14" s="3">
        <v>1510000</v>
      </c>
    </row>
    <row r="15" spans="1:16" x14ac:dyDescent="0.35">
      <c r="A15" s="5" t="s">
        <v>65</v>
      </c>
      <c r="B15">
        <v>29</v>
      </c>
      <c r="D15" s="5" t="s">
        <v>42</v>
      </c>
      <c r="E15">
        <v>3</v>
      </c>
      <c r="F15">
        <v>5</v>
      </c>
      <c r="G15">
        <v>10</v>
      </c>
      <c r="H15">
        <v>18</v>
      </c>
      <c r="J15" s="5" t="s">
        <v>33</v>
      </c>
      <c r="K15" s="3">
        <v>1083000</v>
      </c>
    </row>
    <row r="16" spans="1:16" x14ac:dyDescent="0.35">
      <c r="A16" s="5" t="s">
        <v>66</v>
      </c>
      <c r="B16">
        <v>36</v>
      </c>
      <c r="D16" s="5" t="s">
        <v>43</v>
      </c>
      <c r="E16">
        <v>8</v>
      </c>
      <c r="F16">
        <v>6</v>
      </c>
      <c r="G16">
        <v>9</v>
      </c>
      <c r="H16">
        <v>23</v>
      </c>
      <c r="J16" s="5" t="s">
        <v>62</v>
      </c>
      <c r="K16" s="3">
        <v>2593000</v>
      </c>
    </row>
    <row r="17" spans="1:8" x14ac:dyDescent="0.35">
      <c r="A17" s="5" t="s">
        <v>62</v>
      </c>
      <c r="B17">
        <v>89</v>
      </c>
      <c r="D17" s="5" t="s">
        <v>44</v>
      </c>
      <c r="E17">
        <v>5</v>
      </c>
      <c r="F17">
        <v>5</v>
      </c>
      <c r="G17">
        <v>7</v>
      </c>
      <c r="H17">
        <v>17</v>
      </c>
    </row>
    <row r="18" spans="1:8" x14ac:dyDescent="0.35">
      <c r="D18" s="5" t="s">
        <v>45</v>
      </c>
      <c r="E18">
        <v>5</v>
      </c>
      <c r="F18">
        <v>4</v>
      </c>
      <c r="G18">
        <v>7</v>
      </c>
      <c r="H18">
        <v>16</v>
      </c>
    </row>
    <row r="19" spans="1:8" x14ac:dyDescent="0.35">
      <c r="D19" s="5" t="s">
        <v>46</v>
      </c>
      <c r="E19">
        <v>2</v>
      </c>
      <c r="F19">
        <v>4</v>
      </c>
      <c r="G19">
        <v>2</v>
      </c>
      <c r="H19">
        <v>8</v>
      </c>
    </row>
    <row r="20" spans="1:8" x14ac:dyDescent="0.35">
      <c r="D20" s="5" t="s">
        <v>47</v>
      </c>
      <c r="E20">
        <v>1</v>
      </c>
      <c r="F20">
        <v>5</v>
      </c>
      <c r="G20">
        <v>1</v>
      </c>
      <c r="H20">
        <v>7</v>
      </c>
    </row>
    <row r="21" spans="1:8" x14ac:dyDescent="0.35">
      <c r="D21" s="5" t="s">
        <v>62</v>
      </c>
      <c r="E21">
        <v>24</v>
      </c>
      <c r="F21">
        <v>29</v>
      </c>
      <c r="G21">
        <v>36</v>
      </c>
      <c r="H21">
        <v>89</v>
      </c>
    </row>
  </sheetData>
  <mergeCells count="7">
    <mergeCell ref="M2:P2"/>
    <mergeCell ref="M3:P3"/>
    <mergeCell ref="A12:B12"/>
    <mergeCell ref="A2:B2"/>
    <mergeCell ref="J2:K2"/>
    <mergeCell ref="D12:H12"/>
    <mergeCell ref="J12:L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DECF-8822-4A6E-8D8F-199C2BDD41FE}">
  <dimension ref="B4:P55"/>
  <sheetViews>
    <sheetView showGridLines="0" showRowColHeaders="0" zoomScale="50" zoomScaleNormal="50" workbookViewId="0">
      <selection sqref="A1:Y34"/>
    </sheetView>
  </sheetViews>
  <sheetFormatPr defaultRowHeight="14.5" x14ac:dyDescent="0.35"/>
  <cols>
    <col min="2" max="2" width="38.36328125" customWidth="1"/>
  </cols>
  <sheetData>
    <row r="4" spans="2:2" ht="20" customHeight="1" x14ac:dyDescent="0.35"/>
    <row r="5" spans="2:2" ht="20" customHeight="1" x14ac:dyDescent="0.35"/>
    <row r="6" spans="2:2" ht="20" customHeight="1" x14ac:dyDescent="0.35"/>
    <row r="7" spans="2:2" ht="20" customHeight="1" x14ac:dyDescent="0.35"/>
    <row r="8" spans="2:2" ht="20" customHeight="1" x14ac:dyDescent="0.35"/>
    <row r="9" spans="2:2" ht="20" customHeight="1" x14ac:dyDescent="0.35"/>
    <row r="10" spans="2:2" ht="20" customHeight="1" x14ac:dyDescent="0.45">
      <c r="B10" s="8" t="s">
        <v>69</v>
      </c>
    </row>
    <row r="11" spans="2:2" ht="20" customHeight="1" x14ac:dyDescent="0.6">
      <c r="B11" s="14" cm="1">
        <f t="array" ref="B11">SUM(Sales_Transaction[Revenue]/100000)</f>
        <v>25.930000000000003</v>
      </c>
    </row>
    <row r="12" spans="2:2" ht="20" customHeight="1" x14ac:dyDescent="0.35">
      <c r="B12" s="5"/>
    </row>
    <row r="13" spans="2:2" ht="20" customHeight="1" x14ac:dyDescent="0.45">
      <c r="B13" s="8" t="s">
        <v>70</v>
      </c>
    </row>
    <row r="14" spans="2:2" ht="20" customHeight="1" x14ac:dyDescent="0.6">
      <c r="B14" s="15">
        <f>SUM(Sales_Transaction[Units_sold])</f>
        <v>89</v>
      </c>
    </row>
    <row r="15" spans="2:2" ht="20" customHeight="1" x14ac:dyDescent="0.35">
      <c r="B15" s="5"/>
    </row>
    <row r="16" spans="2:2" ht="20" customHeight="1" x14ac:dyDescent="0.5">
      <c r="B16" s="9" t="s">
        <v>71</v>
      </c>
    </row>
    <row r="17" spans="2:16" ht="20" customHeight="1" x14ac:dyDescent="0.6">
      <c r="B17" s="16">
        <f>SUM(Sales_Transaction[Revenue])/SUM(Sales_Transaction[Units_sold])</f>
        <v>29134.831460674159</v>
      </c>
    </row>
    <row r="18" spans="2:16" ht="20" customHeight="1" x14ac:dyDescent="0.35">
      <c r="B18" s="10"/>
    </row>
    <row r="19" spans="2:16" ht="20" customHeight="1" x14ac:dyDescent="0.5">
      <c r="B19" s="9" t="s">
        <v>72</v>
      </c>
    </row>
    <row r="20" spans="2:16" ht="20" customHeight="1" x14ac:dyDescent="0.6">
      <c r="B20" s="15" t="str">
        <f>INDEX(Pivot_Product!A4:A9,MATCH(MAX(Pivot_Product!B4:B9),Pivot_Product!B4:B9,0))</f>
        <v>P001</v>
      </c>
    </row>
    <row r="21" spans="2:16" x14ac:dyDescent="0.35">
      <c r="B21" s="5"/>
    </row>
    <row r="22" spans="2:16" ht="21" x14ac:dyDescent="0.5">
      <c r="B22" s="9" t="s">
        <v>73</v>
      </c>
    </row>
    <row r="23" spans="2:16" ht="26" x14ac:dyDescent="0.6">
      <c r="B23" s="14" cm="1">
        <f t="array" ref="B23">MAX((Pivot_Product!B4:B9)/100000)</f>
        <v>10.8</v>
      </c>
    </row>
    <row r="24" spans="2:16" x14ac:dyDescent="0.35">
      <c r="B24" s="5"/>
    </row>
    <row r="25" spans="2:16" ht="21" x14ac:dyDescent="0.5">
      <c r="B25" s="9" t="s">
        <v>77</v>
      </c>
    </row>
    <row r="26" spans="2:16" ht="26" x14ac:dyDescent="0.6">
      <c r="B26" s="17">
        <f>MAX(Pivot_Product!B4:B9)/SUM(Sales_Transaction[Revenue])</f>
        <v>0.41650597763208641</v>
      </c>
    </row>
    <row r="29" spans="2:16" ht="21" x14ac:dyDescent="0.5">
      <c r="B29" s="21" t="s">
        <v>88</v>
      </c>
      <c r="C29" s="21"/>
    </row>
    <row r="30" spans="2:16" ht="26" x14ac:dyDescent="0.6">
      <c r="B30" s="17">
        <f>Pivot_Product!M3</f>
        <v>0.8179012345679012</v>
      </c>
    </row>
    <row r="32" spans="2:16" x14ac:dyDescent="0.35">
      <c r="P32" s="6"/>
    </row>
    <row r="55" spans="9:9" x14ac:dyDescent="0.35">
      <c r="I55" s="11"/>
    </row>
  </sheetData>
  <mergeCells count="1">
    <mergeCell ref="B29:C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4E56-E1C2-4D34-B6E1-711C5D6823CE}">
  <dimension ref="C1:Q26"/>
  <sheetViews>
    <sheetView tabSelected="1" topLeftCell="B1" workbookViewId="0">
      <selection activeCell="N1" sqref="N1"/>
    </sheetView>
  </sheetViews>
  <sheetFormatPr defaultRowHeight="14.5" x14ac:dyDescent="0.35"/>
  <sheetData>
    <row r="1" spans="3:17" ht="28.5" x14ac:dyDescent="0.65">
      <c r="F1" s="26" t="s">
        <v>101</v>
      </c>
      <c r="G1" s="26"/>
      <c r="H1" s="26"/>
      <c r="I1" s="26"/>
      <c r="J1" s="26"/>
      <c r="K1" s="26"/>
      <c r="L1" s="26"/>
      <c r="M1" s="26"/>
    </row>
    <row r="3" spans="3:17" x14ac:dyDescent="0.35">
      <c r="C3" s="13"/>
      <c r="D3" s="13"/>
      <c r="E3" s="13"/>
      <c r="F3" s="13"/>
      <c r="G3" s="13"/>
      <c r="H3" s="13"/>
      <c r="I3" s="13"/>
      <c r="J3" s="13"/>
      <c r="K3" s="13"/>
      <c r="L3" s="13"/>
      <c r="M3" s="13"/>
      <c r="N3" s="13"/>
      <c r="O3" s="13"/>
      <c r="P3" s="13"/>
      <c r="Q3" s="22"/>
    </row>
    <row r="4" spans="3:17" x14ac:dyDescent="0.35">
      <c r="C4" s="13"/>
      <c r="D4" s="13"/>
      <c r="E4" s="13"/>
      <c r="F4" s="13"/>
      <c r="G4" s="13"/>
      <c r="H4" s="13"/>
      <c r="I4" s="13"/>
      <c r="J4" s="13"/>
      <c r="K4" s="13"/>
      <c r="L4" s="13"/>
      <c r="M4" s="13"/>
      <c r="N4" s="13"/>
      <c r="O4" s="13"/>
      <c r="P4" s="13"/>
      <c r="Q4" s="22"/>
    </row>
    <row r="5" spans="3:17" x14ac:dyDescent="0.35">
      <c r="C5" s="13"/>
      <c r="D5" s="13"/>
      <c r="E5" s="13"/>
      <c r="F5" s="13"/>
      <c r="G5" s="13"/>
      <c r="H5" s="13"/>
      <c r="I5" s="13"/>
      <c r="J5" s="13"/>
      <c r="K5" s="13"/>
      <c r="L5" s="13"/>
      <c r="M5" s="13"/>
      <c r="N5" s="13"/>
      <c r="O5" s="13"/>
      <c r="P5" s="13"/>
    </row>
    <row r="8" spans="3:17" x14ac:dyDescent="0.35">
      <c r="C8" s="13"/>
      <c r="D8" s="13"/>
      <c r="E8" s="13"/>
      <c r="F8" s="13"/>
      <c r="G8" s="13"/>
      <c r="H8" s="13"/>
      <c r="I8" s="13"/>
      <c r="J8" s="13"/>
      <c r="K8" s="13"/>
      <c r="L8" s="13"/>
      <c r="M8" s="13"/>
      <c r="N8" s="13"/>
      <c r="O8" s="13"/>
      <c r="P8" s="13"/>
    </row>
    <row r="9" spans="3:17" x14ac:dyDescent="0.35">
      <c r="C9" s="13"/>
      <c r="D9" s="13"/>
      <c r="E9" s="13"/>
      <c r="F9" s="13"/>
      <c r="G9" s="13"/>
      <c r="H9" s="13"/>
      <c r="I9" s="13"/>
      <c r="J9" s="13"/>
      <c r="K9" s="13"/>
      <c r="L9" s="13"/>
      <c r="M9" s="13"/>
      <c r="N9" s="13"/>
      <c r="O9" s="13"/>
      <c r="P9" s="13"/>
    </row>
    <row r="10" spans="3:17" x14ac:dyDescent="0.35">
      <c r="C10" s="13"/>
      <c r="D10" s="13"/>
      <c r="E10" s="13"/>
      <c r="F10" s="13"/>
      <c r="G10" s="13"/>
      <c r="H10" s="13"/>
      <c r="I10" s="13"/>
      <c r="J10" s="13"/>
      <c r="K10" s="13"/>
      <c r="L10" s="13"/>
      <c r="M10" s="13"/>
      <c r="N10" s="13"/>
      <c r="O10" s="13"/>
      <c r="P10" s="13"/>
    </row>
    <row r="11" spans="3:17" x14ac:dyDescent="0.35">
      <c r="C11" s="13"/>
      <c r="D11" s="13"/>
      <c r="E11" s="13"/>
      <c r="F11" s="13"/>
      <c r="G11" s="13"/>
      <c r="H11" s="13"/>
      <c r="I11" s="13"/>
      <c r="J11" s="13"/>
      <c r="K11" s="13"/>
      <c r="L11" s="13"/>
      <c r="M11" s="13"/>
      <c r="N11" s="13"/>
      <c r="O11" s="13"/>
      <c r="P11" s="13"/>
    </row>
    <row r="12" spans="3:17" x14ac:dyDescent="0.35">
      <c r="C12" s="13"/>
      <c r="D12" s="13"/>
      <c r="E12" s="13"/>
      <c r="F12" s="13"/>
      <c r="G12" s="13"/>
      <c r="H12" s="13"/>
      <c r="I12" s="13"/>
      <c r="J12" s="13"/>
      <c r="K12" s="13"/>
      <c r="L12" s="13"/>
      <c r="M12" s="13"/>
      <c r="N12" s="13"/>
      <c r="O12" s="13"/>
      <c r="P12" s="13"/>
    </row>
    <row r="13" spans="3:17" x14ac:dyDescent="0.35">
      <c r="C13" s="13"/>
      <c r="D13" s="13"/>
      <c r="E13" s="13"/>
      <c r="F13" s="13"/>
      <c r="G13" s="13"/>
      <c r="H13" s="13"/>
      <c r="I13" s="13"/>
      <c r="J13" s="13"/>
      <c r="K13" s="13"/>
      <c r="L13" s="13"/>
      <c r="M13" s="13"/>
      <c r="N13" s="13"/>
      <c r="O13" s="13"/>
      <c r="P13" s="13"/>
    </row>
    <row r="14" spans="3:17" x14ac:dyDescent="0.35">
      <c r="C14" s="13"/>
      <c r="D14" s="13"/>
      <c r="E14" s="13"/>
      <c r="F14" s="13"/>
      <c r="G14" s="13"/>
      <c r="H14" s="13"/>
      <c r="I14" s="13"/>
      <c r="J14" s="13"/>
      <c r="K14" s="13"/>
      <c r="L14" s="13"/>
      <c r="M14" s="13"/>
      <c r="N14" s="13"/>
      <c r="O14" s="13"/>
      <c r="P14" s="13"/>
    </row>
    <row r="16" spans="3:17" ht="23.5" x14ac:dyDescent="0.55000000000000004">
      <c r="D16" s="23"/>
      <c r="E16" s="23"/>
      <c r="F16" s="23"/>
      <c r="I16" s="12"/>
      <c r="J16" s="12"/>
      <c r="K16" s="12"/>
      <c r="L16" s="12"/>
      <c r="M16" s="12"/>
      <c r="N16" s="12"/>
      <c r="O16" s="12"/>
    </row>
    <row r="18" spans="4:16" ht="18.5" x14ac:dyDescent="0.45">
      <c r="D18" s="24" t="s">
        <v>89</v>
      </c>
      <c r="E18" s="24"/>
      <c r="F18" s="24"/>
      <c r="I18" s="24" t="s">
        <v>94</v>
      </c>
      <c r="J18" s="24"/>
      <c r="K18" s="24"/>
      <c r="M18" s="24" t="s">
        <v>99</v>
      </c>
      <c r="N18" s="24"/>
      <c r="O18" s="24"/>
    </row>
    <row r="19" spans="4:16" ht="18.5" x14ac:dyDescent="0.45">
      <c r="D19" s="25"/>
      <c r="E19" s="25"/>
    </row>
    <row r="20" spans="4:16" ht="18.5" x14ac:dyDescent="0.45">
      <c r="D20" s="24" t="s">
        <v>90</v>
      </c>
      <c r="E20" s="24"/>
      <c r="F20" s="24"/>
      <c r="I20" s="24" t="s">
        <v>95</v>
      </c>
      <c r="J20" s="24"/>
      <c r="K20" s="24"/>
      <c r="L20" s="24" t="s">
        <v>100</v>
      </c>
      <c r="M20" s="24"/>
      <c r="N20" s="24"/>
      <c r="O20" s="24"/>
      <c r="P20" s="24"/>
    </row>
    <row r="21" spans="4:16" ht="18.5" x14ac:dyDescent="0.45">
      <c r="D21" s="25"/>
      <c r="E21" s="25"/>
    </row>
    <row r="22" spans="4:16" ht="18.5" x14ac:dyDescent="0.45">
      <c r="D22" s="24" t="s">
        <v>91</v>
      </c>
      <c r="E22" s="24"/>
      <c r="F22" s="24"/>
      <c r="I22" s="24" t="s">
        <v>96</v>
      </c>
      <c r="J22" s="24"/>
      <c r="K22" s="24"/>
    </row>
    <row r="23" spans="4:16" ht="18.5" x14ac:dyDescent="0.45">
      <c r="D23" s="25"/>
      <c r="E23" s="25"/>
    </row>
    <row r="24" spans="4:16" ht="18.5" x14ac:dyDescent="0.45">
      <c r="D24" s="24" t="s">
        <v>92</v>
      </c>
      <c r="E24" s="24"/>
      <c r="F24" s="24"/>
      <c r="I24" s="24" t="s">
        <v>97</v>
      </c>
      <c r="J24" s="24"/>
      <c r="K24" s="24"/>
      <c r="L24" s="7"/>
    </row>
    <row r="25" spans="4:16" ht="18.5" x14ac:dyDescent="0.45">
      <c r="D25" s="25"/>
      <c r="E25" s="25"/>
    </row>
    <row r="26" spans="4:16" ht="18.5" x14ac:dyDescent="0.45">
      <c r="D26" s="24" t="s">
        <v>93</v>
      </c>
      <c r="E26" s="24"/>
      <c r="F26" s="24"/>
      <c r="I26" s="24" t="s">
        <v>98</v>
      </c>
      <c r="J26" s="24"/>
      <c r="K26" s="24"/>
    </row>
  </sheetData>
  <mergeCells count="17">
    <mergeCell ref="F1:M1"/>
    <mergeCell ref="C8:P14"/>
    <mergeCell ref="M18:O18"/>
    <mergeCell ref="I18:K18"/>
    <mergeCell ref="I20:K20"/>
    <mergeCell ref="I22:K22"/>
    <mergeCell ref="I24:K24"/>
    <mergeCell ref="I26:K26"/>
    <mergeCell ref="D18:F18"/>
    <mergeCell ref="D20:F20"/>
    <mergeCell ref="D22:F22"/>
    <mergeCell ref="D24:F24"/>
    <mergeCell ref="D26:F26"/>
    <mergeCell ref="D16:F16"/>
    <mergeCell ref="C3:P5"/>
    <mergeCell ref="I16:O16"/>
    <mergeCell ref="L20:P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Sales_Transaction</vt:lpstr>
      <vt:lpstr>Product_Master </vt:lpstr>
      <vt:lpstr>Customer_Master</vt:lpstr>
      <vt:lpstr>Pivot_Product</vt:lpstr>
      <vt:lpstr>Dashboard</vt:lpstr>
      <vt:lpstr>Project_Overview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Rajshree Gupta</dc:creator>
  <cp:lastModifiedBy>Rajshree Gupta</cp:lastModifiedBy>
  <dcterms:created xsi:type="dcterms:W3CDTF">2026-02-17T19:09:32Z</dcterms:created>
  <dcterms:modified xsi:type="dcterms:W3CDTF">2026-03-06T02:21:45Z</dcterms:modified>
</cp:coreProperties>
</file>